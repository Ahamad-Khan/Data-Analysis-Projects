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defaultThemeVersion="124226"/>
  <mc:AlternateContent xmlns:mc="http://schemas.openxmlformats.org/markup-compatibility/2006">
    <mc:Choice Requires="x15">
      <x15ac:absPath xmlns:x15ac="http://schemas.microsoft.com/office/spreadsheetml/2010/11/ac" url="C:\Users\R R\Desktop\Practice\Excel Data Analysis Project (Unfinished)\"/>
    </mc:Choice>
  </mc:AlternateContent>
  <xr:revisionPtr revIDLastSave="0" documentId="13_ncr:1_{F7B580CF-5B52-45C8-96A8-F679CED7E76B}" xr6:coauthVersionLast="36" xr6:coauthVersionMax="36" xr10:uidLastSave="{00000000-0000-0000-0000-000000000000}"/>
  <bookViews>
    <workbookView xWindow="-105" yWindow="-105" windowWidth="20730" windowHeight="11760" activeTab="4" xr2:uid="{00000000-000D-0000-FFFF-FFFF00000000}"/>
  </bookViews>
  <sheets>
    <sheet name="Dateset" sheetId="1" r:id="rId1"/>
    <sheet name="Analysis" sheetId="2" r:id="rId2"/>
    <sheet name="Pivot Table" sheetId="5" r:id="rId3"/>
    <sheet name="Pivot For Dashboard" sheetId="7" r:id="rId4"/>
    <sheet name="DashBoard" sheetId="6" r:id="rId5"/>
  </sheets>
  <definedNames>
    <definedName name="_xlnm._FilterDatabase" localSheetId="0" hidden="1">Dateset!$A$1:$J$1001</definedName>
    <definedName name="Slicer_Category">#N/A</definedName>
    <definedName name="Slicer_City">#N/A</definedName>
    <definedName name="Slicer_Month">#N/A</definedName>
    <definedName name="Slicer_Product">#N/A</definedName>
  </definedNames>
  <calcPr calcId="191029"/>
  <pivotCaches>
    <pivotCache cacheId="0" r:id="rId6"/>
    <pivotCache cacheId="1" r:id="rId7"/>
    <pivotCache cacheId="2"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K6" i="7" l="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K5" i="7"/>
  <c r="O11" i="1"/>
  <c r="K4" i="7"/>
  <c r="K3" i="7"/>
  <c r="K2" i="7"/>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2" i="1"/>
  <c r="C14" i="2" l="1"/>
  <c r="D14" i="2"/>
  <c r="E14" i="2"/>
  <c r="F14" i="2"/>
  <c r="G14" i="2"/>
  <c r="H14" i="2"/>
  <c r="I14" i="2"/>
  <c r="C15" i="2"/>
  <c r="D15" i="2"/>
  <c r="E15" i="2"/>
  <c r="F15" i="2"/>
  <c r="G15" i="2"/>
  <c r="H15" i="2"/>
  <c r="I15" i="2"/>
  <c r="C16" i="2"/>
  <c r="D16" i="2"/>
  <c r="E16" i="2"/>
  <c r="F16" i="2"/>
  <c r="G16" i="2"/>
  <c r="H16" i="2"/>
  <c r="I16" i="2"/>
  <c r="C17" i="2"/>
  <c r="D17" i="2"/>
  <c r="E17" i="2"/>
  <c r="F17" i="2"/>
  <c r="G17" i="2"/>
  <c r="H17" i="2"/>
  <c r="I17" i="2"/>
  <c r="C18" i="2"/>
  <c r="D18" i="2"/>
  <c r="E18" i="2"/>
  <c r="F18" i="2"/>
  <c r="G18" i="2"/>
  <c r="H18" i="2"/>
  <c r="I18" i="2"/>
  <c r="C19" i="2"/>
  <c r="D19" i="2"/>
  <c r="E19" i="2"/>
  <c r="F19" i="2"/>
  <c r="G19" i="2"/>
  <c r="H19" i="2"/>
  <c r="I19" i="2"/>
  <c r="C20" i="2"/>
  <c r="D20" i="2"/>
  <c r="E20" i="2"/>
  <c r="F20" i="2"/>
  <c r="G20" i="2"/>
  <c r="H20" i="2"/>
  <c r="I20" i="2"/>
  <c r="C21" i="2"/>
  <c r="D21" i="2"/>
  <c r="E21" i="2"/>
  <c r="F21" i="2"/>
  <c r="G21" i="2"/>
  <c r="H21" i="2"/>
  <c r="I21" i="2"/>
  <c r="B15" i="2"/>
  <c r="B16" i="2"/>
  <c r="B17" i="2"/>
  <c r="B18" i="2"/>
  <c r="B19" i="2"/>
  <c r="B20" i="2"/>
  <c r="B21" i="2"/>
  <c r="B14" i="2"/>
  <c r="J14" i="2" s="1"/>
  <c r="J16" i="2" l="1"/>
  <c r="K16" i="2" s="1"/>
  <c r="L16" i="2" s="1"/>
  <c r="J15" i="2"/>
  <c r="K15" i="2" s="1"/>
  <c r="L15" i="2" s="1"/>
  <c r="J21" i="2"/>
  <c r="K21" i="2" s="1"/>
  <c r="L21" i="2" s="1"/>
  <c r="J20" i="2"/>
  <c r="K20" i="2" s="1"/>
  <c r="L20" i="2" s="1"/>
  <c r="J19" i="2"/>
  <c r="K19" i="2" s="1"/>
  <c r="L19" i="2" s="1"/>
  <c r="J18" i="2"/>
  <c r="K18" i="2" s="1"/>
  <c r="L18" i="2" s="1"/>
  <c r="J17" i="2"/>
  <c r="K17" i="2" s="1"/>
  <c r="L17" i="2" s="1"/>
  <c r="K14" i="2"/>
  <c r="L14" i="2" s="1"/>
  <c r="P22" i="1"/>
  <c r="S27" i="1"/>
  <c r="S28" i="1"/>
  <c r="B4" i="2"/>
  <c r="B11" i="2"/>
  <c r="B10" i="2"/>
  <c r="B9" i="2"/>
  <c r="B8" i="2"/>
  <c r="B7" i="2"/>
  <c r="B6" i="2"/>
  <c r="B5" i="2"/>
  <c r="P23" i="1"/>
  <c r="P24" i="1"/>
  <c r="J2" i="1"/>
  <c r="R12" i="1" s="1"/>
  <c r="C2" i="2"/>
  <c r="J316" i="1"/>
  <c r="J4" i="1"/>
  <c r="H9" i="2" s="1"/>
  <c r="J5" i="1"/>
  <c r="H11" i="2" s="1"/>
  <c r="J6" i="1"/>
  <c r="J7" i="1"/>
  <c r="J854" i="1"/>
  <c r="J9" i="1"/>
  <c r="J10" i="1"/>
  <c r="J11" i="1"/>
  <c r="J12" i="1"/>
  <c r="J186" i="1"/>
  <c r="J652" i="1"/>
  <c r="J15" i="1"/>
  <c r="J759" i="1"/>
  <c r="J17" i="1"/>
  <c r="J966" i="1"/>
  <c r="J19" i="1"/>
  <c r="J892" i="1"/>
  <c r="J600" i="1"/>
  <c r="J22" i="1"/>
  <c r="J23" i="1"/>
  <c r="J24" i="1"/>
  <c r="J25" i="1"/>
  <c r="J26" i="1"/>
  <c r="J27" i="1"/>
  <c r="J28" i="1"/>
  <c r="J567" i="1"/>
  <c r="J30" i="1"/>
  <c r="J31" i="1"/>
  <c r="J32" i="1"/>
  <c r="J258" i="1"/>
  <c r="J34" i="1"/>
  <c r="J35" i="1"/>
  <c r="J36" i="1"/>
  <c r="J37" i="1"/>
  <c r="H10" i="2" s="1"/>
  <c r="J38" i="1"/>
  <c r="J39" i="1"/>
  <c r="J40" i="1"/>
  <c r="J41" i="1"/>
  <c r="J42" i="1"/>
  <c r="J43" i="1"/>
  <c r="J3" i="1"/>
  <c r="J45" i="1"/>
  <c r="J46" i="1"/>
  <c r="J47" i="1"/>
  <c r="J48" i="1"/>
  <c r="J761" i="1"/>
  <c r="J50" i="1"/>
  <c r="J51" i="1"/>
  <c r="J52" i="1"/>
  <c r="R19" i="1" s="1"/>
  <c r="J654" i="1"/>
  <c r="J54" i="1"/>
  <c r="J55" i="1"/>
  <c r="J576" i="1"/>
  <c r="J57" i="1"/>
  <c r="J58" i="1"/>
  <c r="J59" i="1"/>
  <c r="J60" i="1"/>
  <c r="J61" i="1"/>
  <c r="J62" i="1"/>
  <c r="J63" i="1"/>
  <c r="J64" i="1"/>
  <c r="J943" i="1"/>
  <c r="J218" i="1"/>
  <c r="J67" i="1"/>
  <c r="J68" i="1"/>
  <c r="J69" i="1"/>
  <c r="J70" i="1"/>
  <c r="J71" i="1"/>
  <c r="J221" i="1"/>
  <c r="J73" i="1"/>
  <c r="J74" i="1"/>
  <c r="J75" i="1"/>
  <c r="J76" i="1"/>
  <c r="J451" i="1"/>
  <c r="J78" i="1"/>
  <c r="J79" i="1"/>
  <c r="J80" i="1"/>
  <c r="J580" i="1"/>
  <c r="J82" i="1"/>
  <c r="J83" i="1"/>
  <c r="J84" i="1"/>
  <c r="J85" i="1"/>
  <c r="R14" i="1" s="1"/>
  <c r="J86" i="1"/>
  <c r="J87" i="1"/>
  <c r="J88" i="1"/>
  <c r="J89" i="1"/>
  <c r="J90" i="1"/>
  <c r="J91" i="1"/>
  <c r="J92" i="1"/>
  <c r="J93" i="1"/>
  <c r="J94" i="1"/>
  <c r="J8" i="1"/>
  <c r="J96" i="1"/>
  <c r="J97" i="1"/>
  <c r="J98" i="1"/>
  <c r="J99" i="1"/>
  <c r="J100" i="1"/>
  <c r="J101" i="1"/>
  <c r="J102" i="1"/>
  <c r="J103" i="1"/>
  <c r="J104" i="1"/>
  <c r="J105" i="1"/>
  <c r="J106" i="1"/>
  <c r="J107" i="1"/>
  <c r="J614" i="1"/>
  <c r="J109" i="1"/>
  <c r="J110" i="1"/>
  <c r="J111" i="1"/>
  <c r="J112" i="1"/>
  <c r="J113" i="1"/>
  <c r="J373" i="1"/>
  <c r="J664" i="1"/>
  <c r="J116" i="1"/>
  <c r="J117" i="1"/>
  <c r="J118" i="1"/>
  <c r="J119" i="1"/>
  <c r="J120" i="1"/>
  <c r="J121" i="1"/>
  <c r="J122" i="1"/>
  <c r="J123" i="1"/>
  <c r="J13" i="1"/>
  <c r="J125" i="1"/>
  <c r="J126" i="1"/>
  <c r="J127" i="1"/>
  <c r="J128" i="1"/>
  <c r="J378" i="1"/>
  <c r="J130" i="1"/>
  <c r="J131" i="1"/>
  <c r="J685" i="1"/>
  <c r="J133" i="1"/>
  <c r="J134" i="1"/>
  <c r="J135" i="1"/>
  <c r="J136" i="1"/>
  <c r="J137" i="1"/>
  <c r="J893" i="1"/>
  <c r="J139" i="1"/>
  <c r="J140" i="1"/>
  <c r="J141" i="1"/>
  <c r="J142" i="1"/>
  <c r="J621" i="1"/>
  <c r="J144" i="1"/>
  <c r="J665" i="1"/>
  <c r="J146" i="1"/>
  <c r="J147" i="1"/>
  <c r="J148" i="1"/>
  <c r="J149" i="1"/>
  <c r="J794" i="1"/>
  <c r="J151" i="1"/>
  <c r="J152" i="1"/>
  <c r="J153" i="1"/>
  <c r="J154" i="1"/>
  <c r="J867" i="1"/>
  <c r="J156" i="1"/>
  <c r="J157" i="1"/>
  <c r="J158" i="1"/>
  <c r="J159" i="1"/>
  <c r="J160" i="1"/>
  <c r="J494" i="1"/>
  <c r="J162" i="1"/>
  <c r="J163" i="1"/>
  <c r="J164" i="1"/>
  <c r="J165" i="1"/>
  <c r="J166" i="1"/>
  <c r="J167" i="1"/>
  <c r="J764" i="1"/>
  <c r="J169" i="1"/>
  <c r="J170" i="1"/>
  <c r="J223" i="1"/>
  <c r="J172" i="1"/>
  <c r="J173" i="1"/>
  <c r="J174" i="1"/>
  <c r="J175" i="1"/>
  <c r="J176" i="1"/>
  <c r="J177" i="1"/>
  <c r="J178" i="1"/>
  <c r="J179" i="1"/>
  <c r="J913" i="1"/>
  <c r="J181" i="1"/>
  <c r="J182" i="1"/>
  <c r="J183" i="1"/>
  <c r="J184" i="1"/>
  <c r="J185" i="1"/>
  <c r="J703" i="1"/>
  <c r="J187" i="1"/>
  <c r="J188" i="1"/>
  <c r="J189" i="1"/>
  <c r="J894" i="1"/>
  <c r="J826" i="1"/>
  <c r="J192" i="1"/>
  <c r="J193" i="1"/>
  <c r="J194" i="1"/>
  <c r="J195" i="1"/>
  <c r="J380" i="1"/>
  <c r="J197" i="1"/>
  <c r="J198" i="1"/>
  <c r="J199" i="1"/>
  <c r="J200" i="1"/>
  <c r="J201" i="1"/>
  <c r="J669" i="1"/>
  <c r="J203" i="1"/>
  <c r="J204" i="1"/>
  <c r="J205" i="1"/>
  <c r="J206" i="1"/>
  <c r="J207" i="1"/>
  <c r="J208" i="1"/>
  <c r="J827" i="1"/>
  <c r="J210" i="1"/>
  <c r="J211" i="1"/>
  <c r="J212" i="1"/>
  <c r="J213" i="1"/>
  <c r="J214" i="1"/>
  <c r="J215" i="1"/>
  <c r="J216" i="1"/>
  <c r="J217" i="1"/>
  <c r="J872" i="1"/>
  <c r="J219" i="1"/>
  <c r="J220" i="1"/>
  <c r="J967" i="1"/>
  <c r="J222" i="1"/>
  <c r="J383" i="1"/>
  <c r="J224" i="1"/>
  <c r="J225" i="1"/>
  <c r="J545" i="1"/>
  <c r="J227" i="1"/>
  <c r="J228" i="1"/>
  <c r="J229" i="1"/>
  <c r="J230" i="1"/>
  <c r="J495" i="1"/>
  <c r="J232" i="1"/>
  <c r="J504" i="1"/>
  <c r="J234" i="1"/>
  <c r="J235" i="1"/>
  <c r="J655" i="1"/>
  <c r="J237" i="1"/>
  <c r="J238" i="1"/>
  <c r="J239" i="1"/>
  <c r="J240" i="1"/>
  <c r="J241" i="1"/>
  <c r="J259" i="1"/>
  <c r="J243" i="1"/>
  <c r="J549" i="1"/>
  <c r="J245" i="1"/>
  <c r="J246" i="1"/>
  <c r="J247" i="1"/>
  <c r="J248" i="1"/>
  <c r="J249" i="1"/>
  <c r="J250" i="1"/>
  <c r="J251" i="1"/>
  <c r="J252" i="1"/>
  <c r="J253" i="1"/>
  <c r="J254" i="1"/>
  <c r="J255" i="1"/>
  <c r="J974" i="1"/>
  <c r="J21" i="1"/>
  <c r="H8" i="2" s="1"/>
  <c r="J53" i="1"/>
  <c r="J406"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553" i="1"/>
  <c r="J895" i="1"/>
  <c r="J289" i="1"/>
  <c r="J290" i="1"/>
  <c r="J634" i="1"/>
  <c r="J226" i="1"/>
  <c r="J293" i="1"/>
  <c r="J294" i="1"/>
  <c r="J295" i="1"/>
  <c r="J296" i="1"/>
  <c r="J842" i="1"/>
  <c r="J298" i="1"/>
  <c r="J299" i="1"/>
  <c r="J300" i="1"/>
  <c r="J301" i="1"/>
  <c r="J302" i="1"/>
  <c r="J303" i="1"/>
  <c r="J767" i="1"/>
  <c r="J583" i="1"/>
  <c r="J306" i="1"/>
  <c r="J307" i="1"/>
  <c r="J308" i="1"/>
  <c r="J309" i="1"/>
  <c r="J310" i="1"/>
  <c r="J311" i="1"/>
  <c r="J190" i="1"/>
  <c r="J956" i="1"/>
  <c r="J314" i="1"/>
  <c r="J959" i="1"/>
  <c r="J656" i="1"/>
  <c r="J317" i="1"/>
  <c r="J318" i="1"/>
  <c r="J319" i="1"/>
  <c r="J320" i="1"/>
  <c r="J859" i="1"/>
  <c r="J322" i="1"/>
  <c r="J323" i="1"/>
  <c r="J324" i="1"/>
  <c r="J325" i="1"/>
  <c r="J326" i="1"/>
  <c r="J327" i="1"/>
  <c r="J384" i="1"/>
  <c r="J329" i="1"/>
  <c r="J330" i="1"/>
  <c r="J331" i="1"/>
  <c r="J332" i="1"/>
  <c r="J333" i="1"/>
  <c r="J334" i="1"/>
  <c r="J335" i="1"/>
  <c r="J336" i="1"/>
  <c r="J337" i="1"/>
  <c r="J338" i="1"/>
  <c r="J339" i="1"/>
  <c r="J340" i="1"/>
  <c r="J640" i="1"/>
  <c r="J342" i="1"/>
  <c r="J343" i="1"/>
  <c r="J344" i="1"/>
  <c r="J515" i="1"/>
  <c r="J346" i="1"/>
  <c r="J347" i="1"/>
  <c r="J435" i="1"/>
  <c r="J349" i="1"/>
  <c r="J350" i="1"/>
  <c r="J351" i="1"/>
  <c r="J352" i="1"/>
  <c r="J353" i="1"/>
  <c r="J354" i="1"/>
  <c r="J287" i="1"/>
  <c r="J356" i="1"/>
  <c r="J357" i="1"/>
  <c r="J358" i="1"/>
  <c r="J359" i="1"/>
  <c r="J360" i="1"/>
  <c r="J361" i="1"/>
  <c r="J861" i="1"/>
  <c r="J363" i="1"/>
  <c r="J982" i="1"/>
  <c r="J365" i="1"/>
  <c r="J288" i="1"/>
  <c r="J367" i="1"/>
  <c r="J368" i="1"/>
  <c r="J369" i="1"/>
  <c r="J370" i="1"/>
  <c r="J371" i="1"/>
  <c r="J372" i="1"/>
  <c r="J784" i="1"/>
  <c r="J374" i="1"/>
  <c r="J375" i="1"/>
  <c r="J376" i="1"/>
  <c r="J377" i="1"/>
  <c r="J922" i="1"/>
  <c r="J379" i="1"/>
  <c r="J291" i="1"/>
  <c r="J381" i="1"/>
  <c r="J382" i="1"/>
  <c r="J108" i="1"/>
  <c r="J114" i="1"/>
  <c r="J385" i="1"/>
  <c r="J386" i="1"/>
  <c r="J387" i="1"/>
  <c r="J388" i="1"/>
  <c r="J389" i="1"/>
  <c r="J390" i="1"/>
  <c r="J321" i="1"/>
  <c r="J392" i="1"/>
  <c r="J393" i="1"/>
  <c r="J394" i="1"/>
  <c r="J395" i="1"/>
  <c r="J396" i="1"/>
  <c r="J397" i="1"/>
  <c r="J398" i="1"/>
  <c r="J292" i="1"/>
  <c r="J400" i="1"/>
  <c r="J401" i="1"/>
  <c r="J402" i="1"/>
  <c r="J403" i="1"/>
  <c r="J404" i="1"/>
  <c r="J405" i="1"/>
  <c r="J709" i="1"/>
  <c r="J407" i="1"/>
  <c r="J408" i="1"/>
  <c r="J409" i="1"/>
  <c r="J410" i="1"/>
  <c r="J411" i="1"/>
  <c r="J924" i="1"/>
  <c r="J413" i="1"/>
  <c r="J521" i="1"/>
  <c r="J415" i="1"/>
  <c r="J416" i="1"/>
  <c r="J417" i="1"/>
  <c r="J418" i="1"/>
  <c r="J587" i="1"/>
  <c r="J829" i="1"/>
  <c r="J145" i="1"/>
  <c r="J422" i="1"/>
  <c r="J423" i="1"/>
  <c r="J424" i="1"/>
  <c r="J425" i="1"/>
  <c r="J426" i="1"/>
  <c r="J427" i="1"/>
  <c r="J428" i="1"/>
  <c r="J714" i="1"/>
  <c r="J430" i="1"/>
  <c r="J431" i="1"/>
  <c r="J432" i="1"/>
  <c r="J433" i="1"/>
  <c r="J434" i="1"/>
  <c r="J881" i="1"/>
  <c r="J436" i="1"/>
  <c r="J437" i="1"/>
  <c r="J438" i="1"/>
  <c r="J927" i="1"/>
  <c r="J440" i="1"/>
  <c r="J441" i="1"/>
  <c r="J442" i="1"/>
  <c r="J443" i="1"/>
  <c r="J444" i="1"/>
  <c r="J445" i="1"/>
  <c r="J328" i="1"/>
  <c r="J528" i="1"/>
  <c r="J448" i="1"/>
  <c r="J449" i="1"/>
  <c r="J191" i="1"/>
  <c r="J864" i="1"/>
  <c r="J452" i="1"/>
  <c r="J453" i="1"/>
  <c r="J454" i="1"/>
  <c r="J231" i="1"/>
  <c r="J456" i="1"/>
  <c r="J457" i="1"/>
  <c r="J458" i="1"/>
  <c r="J459" i="1"/>
  <c r="J844" i="1"/>
  <c r="J461" i="1"/>
  <c r="J462" i="1"/>
  <c r="J463" i="1"/>
  <c r="J464" i="1"/>
  <c r="J465" i="1"/>
  <c r="J466" i="1"/>
  <c r="J467" i="1"/>
  <c r="J468" i="1"/>
  <c r="J469" i="1"/>
  <c r="J470" i="1"/>
  <c r="J29" i="1"/>
  <c r="J472" i="1"/>
  <c r="J473" i="1"/>
  <c r="J474" i="1"/>
  <c r="J475" i="1"/>
  <c r="J476" i="1"/>
  <c r="J477" i="1"/>
  <c r="J478" i="1"/>
  <c r="J479" i="1"/>
  <c r="J480" i="1"/>
  <c r="J481" i="1"/>
  <c r="J482" i="1"/>
  <c r="J483" i="1"/>
  <c r="J484" i="1"/>
  <c r="J485" i="1"/>
  <c r="J486" i="1"/>
  <c r="J487" i="1"/>
  <c r="J488" i="1"/>
  <c r="J559" i="1"/>
  <c r="J490" i="1"/>
  <c r="J491" i="1"/>
  <c r="J492" i="1"/>
  <c r="J493" i="1"/>
  <c r="J412" i="1"/>
  <c r="J694" i="1"/>
  <c r="J496" i="1"/>
  <c r="J497" i="1"/>
  <c r="J498" i="1"/>
  <c r="J499" i="1"/>
  <c r="J500" i="1"/>
  <c r="J501" i="1"/>
  <c r="J502" i="1"/>
  <c r="J503" i="1"/>
  <c r="J341" i="1"/>
  <c r="J505" i="1"/>
  <c r="J506" i="1"/>
  <c r="J507" i="1"/>
  <c r="J508" i="1"/>
  <c r="J509" i="1"/>
  <c r="J510" i="1"/>
  <c r="J511" i="1"/>
  <c r="J512" i="1"/>
  <c r="J513" i="1"/>
  <c r="J514" i="1"/>
  <c r="J414" i="1"/>
  <c r="J516" i="1"/>
  <c r="J517" i="1"/>
  <c r="J518" i="1"/>
  <c r="J519" i="1"/>
  <c r="J520" i="1"/>
  <c r="J988" i="1"/>
  <c r="J522" i="1"/>
  <c r="J523" i="1"/>
  <c r="J524" i="1"/>
  <c r="J525" i="1"/>
  <c r="J526" i="1"/>
  <c r="J527" i="1"/>
  <c r="J787" i="1"/>
  <c r="J846" i="1"/>
  <c r="J530" i="1"/>
  <c r="J716" i="1"/>
  <c r="J849" i="1"/>
  <c r="J533" i="1"/>
  <c r="J534" i="1"/>
  <c r="J535" i="1"/>
  <c r="J536" i="1"/>
  <c r="J537" i="1"/>
  <c r="J538" i="1"/>
  <c r="J850" i="1"/>
  <c r="J540" i="1"/>
  <c r="J541" i="1"/>
  <c r="J542" i="1"/>
  <c r="J543" i="1"/>
  <c r="J544" i="1"/>
  <c r="J529" i="1"/>
  <c r="J546" i="1"/>
  <c r="J547" i="1"/>
  <c r="J548" i="1"/>
  <c r="J297" i="1"/>
  <c r="J550" i="1"/>
  <c r="J551" i="1"/>
  <c r="J552" i="1"/>
  <c r="J690" i="1"/>
  <c r="J554" i="1"/>
  <c r="J555" i="1"/>
  <c r="J556" i="1"/>
  <c r="J557" i="1"/>
  <c r="J558" i="1"/>
  <c r="J883" i="1"/>
  <c r="J989" i="1"/>
  <c r="J561" i="1"/>
  <c r="J562" i="1"/>
  <c r="J563" i="1"/>
  <c r="J233" i="1"/>
  <c r="J993" i="1"/>
  <c r="J566" i="1"/>
  <c r="J150" i="1"/>
  <c r="J568" i="1"/>
  <c r="J569" i="1"/>
  <c r="J570" i="1"/>
  <c r="J571" i="1"/>
  <c r="J572" i="1"/>
  <c r="J573" i="1"/>
  <c r="J574" i="1"/>
  <c r="J575" i="1"/>
  <c r="J155" i="1"/>
  <c r="J577" i="1"/>
  <c r="J578" i="1"/>
  <c r="J579" i="1"/>
  <c r="J560" i="1"/>
  <c r="J581" i="1"/>
  <c r="J582" i="1"/>
  <c r="J899" i="1"/>
  <c r="J584" i="1"/>
  <c r="J585" i="1"/>
  <c r="J586" i="1"/>
  <c r="J56" i="1"/>
  <c r="J588" i="1"/>
  <c r="J589" i="1"/>
  <c r="J115" i="1"/>
  <c r="J591" i="1"/>
  <c r="J592" i="1"/>
  <c r="J866" i="1"/>
  <c r="J594" i="1"/>
  <c r="J595" i="1"/>
  <c r="J596" i="1"/>
  <c r="J597" i="1"/>
  <c r="J702" i="1"/>
  <c r="J599" i="1"/>
  <c r="J994" i="1"/>
  <c r="J601" i="1"/>
  <c r="J602" i="1"/>
  <c r="J603" i="1"/>
  <c r="J604" i="1"/>
  <c r="J605" i="1"/>
  <c r="J606" i="1"/>
  <c r="J607" i="1"/>
  <c r="J608" i="1"/>
  <c r="J609" i="1"/>
  <c r="J610" i="1"/>
  <c r="J611" i="1"/>
  <c r="J612" i="1"/>
  <c r="J613" i="1"/>
  <c r="J419" i="1"/>
  <c r="J615" i="1"/>
  <c r="J616" i="1"/>
  <c r="J617" i="1"/>
  <c r="J618" i="1"/>
  <c r="J619" i="1"/>
  <c r="J620" i="1"/>
  <c r="J345" i="1"/>
  <c r="J622" i="1"/>
  <c r="J623" i="1"/>
  <c r="J624" i="1"/>
  <c r="J625" i="1"/>
  <c r="J626" i="1"/>
  <c r="J627" i="1"/>
  <c r="J628" i="1"/>
  <c r="J629" i="1"/>
  <c r="J630" i="1"/>
  <c r="J631" i="1"/>
  <c r="J632" i="1"/>
  <c r="J633" i="1"/>
  <c r="J161" i="1"/>
  <c r="J635" i="1"/>
  <c r="J636" i="1"/>
  <c r="J637" i="1"/>
  <c r="J638" i="1"/>
  <c r="J639" i="1"/>
  <c r="J420" i="1"/>
  <c r="J641" i="1"/>
  <c r="J642" i="1"/>
  <c r="J643" i="1"/>
  <c r="J644" i="1"/>
  <c r="J645" i="1"/>
  <c r="J646" i="1"/>
  <c r="J14" i="1"/>
  <c r="J648" i="1"/>
  <c r="J196" i="1"/>
  <c r="J888" i="1"/>
  <c r="J651" i="1"/>
  <c r="J961" i="1"/>
  <c r="J653" i="1"/>
  <c r="J236" i="1"/>
  <c r="J590" i="1"/>
  <c r="J16" i="1"/>
  <c r="J657" i="1"/>
  <c r="J658" i="1"/>
  <c r="J659" i="1"/>
  <c r="J789" i="1"/>
  <c r="J661" i="1"/>
  <c r="J662" i="1"/>
  <c r="J663" i="1"/>
  <c r="J168" i="1"/>
  <c r="J674" i="1"/>
  <c r="J666" i="1"/>
  <c r="J667" i="1"/>
  <c r="J668" i="1"/>
  <c r="J391" i="1"/>
  <c r="J670" i="1"/>
  <c r="J671" i="1"/>
  <c r="J672" i="1"/>
  <c r="J673" i="1"/>
  <c r="J65" i="1"/>
  <c r="J675" i="1"/>
  <c r="J171" i="1"/>
  <c r="J677" i="1"/>
  <c r="J678" i="1"/>
  <c r="J679" i="1"/>
  <c r="J680" i="1"/>
  <c r="J681" i="1"/>
  <c r="J348" i="1"/>
  <c r="J683" i="1"/>
  <c r="J684" i="1"/>
  <c r="J202" i="1"/>
  <c r="J686" i="1"/>
  <c r="J687" i="1"/>
  <c r="J688" i="1"/>
  <c r="J689" i="1"/>
  <c r="J124" i="1"/>
  <c r="J691" i="1"/>
  <c r="J692" i="1"/>
  <c r="J693" i="1"/>
  <c r="J242" i="1"/>
  <c r="J695" i="1"/>
  <c r="J696" i="1"/>
  <c r="J697" i="1"/>
  <c r="J698" i="1"/>
  <c r="J699" i="1"/>
  <c r="J700" i="1"/>
  <c r="J701" i="1"/>
  <c r="J455" i="1"/>
  <c r="J717" i="1"/>
  <c r="J704" i="1"/>
  <c r="J705" i="1"/>
  <c r="J706" i="1"/>
  <c r="J707" i="1"/>
  <c r="J708" i="1"/>
  <c r="J421" i="1"/>
  <c r="J710" i="1"/>
  <c r="J711" i="1"/>
  <c r="J712" i="1"/>
  <c r="J713" i="1"/>
  <c r="J724" i="1"/>
  <c r="J715" i="1"/>
  <c r="J33" i="1"/>
  <c r="J304" i="1"/>
  <c r="J718" i="1"/>
  <c r="J719" i="1"/>
  <c r="J720" i="1"/>
  <c r="J721" i="1"/>
  <c r="J722" i="1"/>
  <c r="J723" i="1"/>
  <c r="J995" i="1"/>
  <c r="J725" i="1"/>
  <c r="J726" i="1"/>
  <c r="J727" i="1"/>
  <c r="J728" i="1"/>
  <c r="J729" i="1"/>
  <c r="J962" i="1"/>
  <c r="J731" i="1"/>
  <c r="J732" i="1"/>
  <c r="J733" i="1"/>
  <c r="J813" i="1"/>
  <c r="J735" i="1"/>
  <c r="J736" i="1"/>
  <c r="J737" i="1"/>
  <c r="J738" i="1"/>
  <c r="J739" i="1"/>
  <c r="J740" i="1"/>
  <c r="J741" i="1"/>
  <c r="J742" i="1"/>
  <c r="J743" i="1"/>
  <c r="J744" i="1"/>
  <c r="J745" i="1"/>
  <c r="J746" i="1"/>
  <c r="J460" i="1"/>
  <c r="J748" i="1"/>
  <c r="J749" i="1"/>
  <c r="J750" i="1"/>
  <c r="J751" i="1"/>
  <c r="J752" i="1"/>
  <c r="J753" i="1"/>
  <c r="J754" i="1"/>
  <c r="J755" i="1"/>
  <c r="J756" i="1"/>
  <c r="J730" i="1"/>
  <c r="J66" i="1"/>
  <c r="J439" i="1"/>
  <c r="J760" i="1"/>
  <c r="J244" i="1"/>
  <c r="J762" i="1"/>
  <c r="J763" i="1"/>
  <c r="J209" i="1"/>
  <c r="J765" i="1"/>
  <c r="J766" i="1"/>
  <c r="J256" i="1"/>
  <c r="J768" i="1"/>
  <c r="J769" i="1"/>
  <c r="J770" i="1"/>
  <c r="J771" i="1"/>
  <c r="J772" i="1"/>
  <c r="J773" i="1"/>
  <c r="J774" i="1"/>
  <c r="J775" i="1"/>
  <c r="J776" i="1"/>
  <c r="J777" i="1"/>
  <c r="J778" i="1"/>
  <c r="J779" i="1"/>
  <c r="J780" i="1"/>
  <c r="J781" i="1"/>
  <c r="J782" i="1"/>
  <c r="J783" i="1"/>
  <c r="J305" i="1"/>
  <c r="J785" i="1"/>
  <c r="J786" i="1"/>
  <c r="J44" i="1"/>
  <c r="J788" i="1"/>
  <c r="J660" i="1"/>
  <c r="J1000" i="1"/>
  <c r="J791" i="1"/>
  <c r="J790" i="1"/>
  <c r="J793" i="1"/>
  <c r="J593" i="1"/>
  <c r="J795" i="1"/>
  <c r="J796" i="1"/>
  <c r="J797" i="1"/>
  <c r="J798" i="1"/>
  <c r="J799" i="1"/>
  <c r="J800" i="1"/>
  <c r="J801" i="1"/>
  <c r="J802" i="1"/>
  <c r="J803" i="1"/>
  <c r="J804" i="1"/>
  <c r="J805" i="1"/>
  <c r="J806" i="1"/>
  <c r="J807" i="1"/>
  <c r="J808" i="1"/>
  <c r="J809" i="1"/>
  <c r="J810" i="1"/>
  <c r="J811" i="1"/>
  <c r="J812" i="1"/>
  <c r="J734" i="1"/>
  <c r="J814" i="1"/>
  <c r="J815" i="1"/>
  <c r="J816" i="1"/>
  <c r="J446" i="1"/>
  <c r="J818" i="1"/>
  <c r="J355" i="1"/>
  <c r="J820" i="1"/>
  <c r="J129" i="1"/>
  <c r="J822" i="1"/>
  <c r="J823" i="1"/>
  <c r="J824" i="1"/>
  <c r="J825" i="1"/>
  <c r="J817" i="1"/>
  <c r="J312" i="1"/>
  <c r="J828" i="1"/>
  <c r="J313" i="1"/>
  <c r="J830" i="1"/>
  <c r="J963" i="1"/>
  <c r="J832" i="1"/>
  <c r="J833" i="1"/>
  <c r="J834" i="1"/>
  <c r="J835" i="1"/>
  <c r="J836" i="1"/>
  <c r="J837" i="1"/>
  <c r="J838" i="1"/>
  <c r="J839" i="1"/>
  <c r="J840" i="1"/>
  <c r="J841" i="1"/>
  <c r="J471" i="1"/>
  <c r="J843" i="1"/>
  <c r="J132" i="1"/>
  <c r="J845" i="1"/>
  <c r="J932" i="1"/>
  <c r="J847" i="1"/>
  <c r="J848" i="1"/>
  <c r="J831" i="1"/>
  <c r="J531" i="1"/>
  <c r="J851" i="1"/>
  <c r="J747" i="1"/>
  <c r="J853" i="1"/>
  <c r="J757" i="1"/>
  <c r="J855" i="1"/>
  <c r="J856" i="1"/>
  <c r="J857" i="1"/>
  <c r="J858" i="1"/>
  <c r="J902" i="1"/>
  <c r="J860" i="1"/>
  <c r="J792" i="1"/>
  <c r="J862" i="1"/>
  <c r="J863" i="1"/>
  <c r="J72" i="1"/>
  <c r="J865" i="1"/>
  <c r="J758" i="1"/>
  <c r="J532" i="1"/>
  <c r="J868" i="1"/>
  <c r="J869" i="1"/>
  <c r="J870" i="1"/>
  <c r="J871" i="1"/>
  <c r="J77" i="1"/>
  <c r="J873" i="1"/>
  <c r="J874" i="1"/>
  <c r="J875" i="1"/>
  <c r="J876" i="1"/>
  <c r="J877" i="1"/>
  <c r="J878" i="1"/>
  <c r="J879" i="1"/>
  <c r="J880" i="1"/>
  <c r="J903" i="1"/>
  <c r="J882" i="1"/>
  <c r="J647" i="1"/>
  <c r="J884" i="1"/>
  <c r="J885" i="1"/>
  <c r="J886" i="1"/>
  <c r="J887" i="1"/>
  <c r="J447" i="1"/>
  <c r="J889" i="1"/>
  <c r="J890" i="1"/>
  <c r="J891" i="1"/>
  <c r="J81" i="1"/>
  <c r="J489" i="1"/>
  <c r="J819" i="1"/>
  <c r="J362" i="1"/>
  <c r="J896" i="1"/>
  <c r="J897" i="1"/>
  <c r="J898" i="1"/>
  <c r="J564" i="1"/>
  <c r="J900" i="1"/>
  <c r="J901" i="1"/>
  <c r="J935" i="1"/>
  <c r="J364" i="1"/>
  <c r="J904" i="1"/>
  <c r="J905" i="1"/>
  <c r="J906" i="1"/>
  <c r="J907" i="1"/>
  <c r="J908" i="1"/>
  <c r="J676" i="1"/>
  <c r="J910" i="1"/>
  <c r="J911" i="1"/>
  <c r="J912" i="1"/>
  <c r="J682" i="1"/>
  <c r="J914" i="1"/>
  <c r="J915" i="1"/>
  <c r="J916" i="1"/>
  <c r="J917" i="1"/>
  <c r="J918" i="1"/>
  <c r="J919" i="1"/>
  <c r="J920" i="1"/>
  <c r="J921" i="1"/>
  <c r="J909" i="1"/>
  <c r="J923" i="1"/>
  <c r="J95" i="1"/>
  <c r="J925" i="1"/>
  <c r="J926" i="1"/>
  <c r="J18" i="1"/>
  <c r="J928" i="1"/>
  <c r="J929" i="1"/>
  <c r="J930" i="1"/>
  <c r="J931" i="1"/>
  <c r="J565" i="1"/>
  <c r="J933" i="1"/>
  <c r="J934" i="1"/>
  <c r="J257" i="1"/>
  <c r="J936" i="1"/>
  <c r="J937" i="1"/>
  <c r="J938" i="1"/>
  <c r="J939" i="1"/>
  <c r="J940" i="1"/>
  <c r="J941" i="1"/>
  <c r="J852" i="1"/>
  <c r="J450" i="1"/>
  <c r="J944" i="1"/>
  <c r="J945" i="1"/>
  <c r="J946" i="1"/>
  <c r="J947" i="1"/>
  <c r="J948" i="1"/>
  <c r="J949" i="1"/>
  <c r="J950" i="1"/>
  <c r="J951" i="1"/>
  <c r="J952" i="1"/>
  <c r="J953" i="1"/>
  <c r="J954" i="1"/>
  <c r="J955" i="1"/>
  <c r="J942" i="1"/>
  <c r="J957" i="1"/>
  <c r="J958" i="1"/>
  <c r="J138" i="1"/>
  <c r="J960" i="1"/>
  <c r="J366" i="1"/>
  <c r="J649" i="1"/>
  <c r="J598" i="1"/>
  <c r="J964" i="1"/>
  <c r="J965" i="1"/>
  <c r="J650" i="1"/>
  <c r="J180" i="1"/>
  <c r="J968" i="1"/>
  <c r="J969" i="1"/>
  <c r="J970" i="1"/>
  <c r="J971" i="1"/>
  <c r="J972" i="1"/>
  <c r="J973" i="1"/>
  <c r="J539" i="1"/>
  <c r="J975" i="1"/>
  <c r="J976" i="1"/>
  <c r="J977" i="1"/>
  <c r="J978" i="1"/>
  <c r="J979" i="1"/>
  <c r="J980" i="1"/>
  <c r="J981" i="1"/>
  <c r="J20" i="1"/>
  <c r="J983" i="1"/>
  <c r="J984" i="1"/>
  <c r="J985" i="1"/>
  <c r="J986" i="1"/>
  <c r="J987" i="1"/>
  <c r="J821" i="1"/>
  <c r="J315" i="1"/>
  <c r="J990" i="1"/>
  <c r="J991" i="1"/>
  <c r="J992" i="1"/>
  <c r="J143" i="1"/>
  <c r="J399" i="1"/>
  <c r="J429" i="1"/>
  <c r="J996" i="1"/>
  <c r="J997" i="1"/>
  <c r="J998" i="1"/>
  <c r="J999" i="1"/>
  <c r="J49" i="1"/>
  <c r="N28" i="1" s="1"/>
  <c r="J1001" i="1"/>
  <c r="J22" i="2" l="1"/>
  <c r="K22" i="2" s="1"/>
  <c r="M22" i="2" s="1"/>
  <c r="N31" i="1"/>
  <c r="S24" i="1"/>
  <c r="N35" i="1"/>
  <c r="O19" i="1"/>
  <c r="R13" i="1"/>
  <c r="S29" i="1"/>
  <c r="H4" i="2"/>
  <c r="S26" i="1"/>
  <c r="N34" i="1"/>
  <c r="N33" i="1"/>
  <c r="N32" i="1"/>
  <c r="H5" i="2"/>
  <c r="R16" i="1"/>
  <c r="E4" i="2"/>
  <c r="S22" i="1"/>
  <c r="N29" i="1"/>
  <c r="H6" i="2"/>
  <c r="S23" i="1"/>
  <c r="O17" i="1"/>
  <c r="H7" i="2"/>
  <c r="R15" i="1"/>
  <c r="S25" i="1"/>
  <c r="O46" i="1"/>
  <c r="O18" i="1"/>
  <c r="R17" i="1"/>
  <c r="R18" i="1"/>
  <c r="N30" i="1"/>
  <c r="O14" i="1"/>
  <c r="C1" i="2"/>
  <c r="O9" i="1"/>
  <c r="O7" i="1"/>
  <c r="L22" i="2" l="1"/>
</calcChain>
</file>

<file path=xl/sharedStrings.xml><?xml version="1.0" encoding="utf-8"?>
<sst xmlns="http://schemas.openxmlformats.org/spreadsheetml/2006/main" count="5355" uniqueCount="426">
  <si>
    <t>OrderID</t>
  </si>
  <si>
    <t>OrderDate</t>
  </si>
  <si>
    <t>CustomerName</t>
  </si>
  <si>
    <t>City</t>
  </si>
  <si>
    <t>Product</t>
  </si>
  <si>
    <t>Category</t>
  </si>
  <si>
    <t>Quantity</t>
  </si>
  <si>
    <t>Price</t>
  </si>
  <si>
    <t>Discount</t>
  </si>
  <si>
    <t>Sales</t>
  </si>
  <si>
    <t>05-05-2024</t>
  </si>
  <si>
    <t>29-10-2024</t>
  </si>
  <si>
    <t>29-04-2024</t>
  </si>
  <si>
    <t>28-10-2024</t>
  </si>
  <si>
    <t>22-05-2024</t>
  </si>
  <si>
    <t>13-07-2024</t>
  </si>
  <si>
    <t>23-01-2024</t>
  </si>
  <si>
    <t>17-11-2024</t>
  </si>
  <si>
    <t>28-05-2024</t>
  </si>
  <si>
    <t>20-08-2024</t>
  </si>
  <si>
    <t>09-12-2024</t>
  </si>
  <si>
    <t>24-03-2024</t>
  </si>
  <si>
    <t>16-12-2024</t>
  </si>
  <si>
    <t>24-07-2024</t>
  </si>
  <si>
    <t>18-04-2024</t>
  </si>
  <si>
    <t>12-03-2024</t>
  </si>
  <si>
    <t>04-07-2024</t>
  </si>
  <si>
    <t>26-02-2024</t>
  </si>
  <si>
    <t>16-07-2024</t>
  </si>
  <si>
    <t>14-12-2024</t>
  </si>
  <si>
    <t>10-08-2024</t>
  </si>
  <si>
    <t>16-09-2024</t>
  </si>
  <si>
    <t>23-03-2024</t>
  </si>
  <si>
    <t>13-02-2024</t>
  </si>
  <si>
    <t>08-10-2024</t>
  </si>
  <si>
    <t>08-06-2024</t>
  </si>
  <si>
    <t>02-03-2024</t>
  </si>
  <si>
    <t>27-04-2024</t>
  </si>
  <si>
    <t>04-05-2024</t>
  </si>
  <si>
    <t>03-12-2024</t>
  </si>
  <si>
    <t>28-01-2024</t>
  </si>
  <si>
    <t>07-05-2024</t>
  </si>
  <si>
    <t>03-04-2024</t>
  </si>
  <si>
    <t>26-03-2024</t>
  </si>
  <si>
    <t>31-01-2024</t>
  </si>
  <si>
    <t>31-05-2024</t>
  </si>
  <si>
    <t>26-01-2024</t>
  </si>
  <si>
    <t>05-04-2024</t>
  </si>
  <si>
    <t>18-10-2024</t>
  </si>
  <si>
    <t>13-05-2024</t>
  </si>
  <si>
    <t>08-03-2024</t>
  </si>
  <si>
    <t>22-08-2024</t>
  </si>
  <si>
    <t>21-03-2024</t>
  </si>
  <si>
    <t>05-12-2024</t>
  </si>
  <si>
    <t>10-10-2024</t>
  </si>
  <si>
    <t>24-06-2024</t>
  </si>
  <si>
    <t>17-02-2024</t>
  </si>
  <si>
    <t>07-03-2024</t>
  </si>
  <si>
    <t>14-10-2024</t>
  </si>
  <si>
    <t>08-07-2024</t>
  </si>
  <si>
    <t>05-07-2024</t>
  </si>
  <si>
    <t>30-06-2024</t>
  </si>
  <si>
    <t>30-07-2024</t>
  </si>
  <si>
    <t>16-05-2024</t>
  </si>
  <si>
    <t>23-04-2024</t>
  </si>
  <si>
    <t>24-04-2024</t>
  </si>
  <si>
    <t>05-02-2024</t>
  </si>
  <si>
    <t>15-01-2024</t>
  </si>
  <si>
    <t>20-01-2024</t>
  </si>
  <si>
    <t>06-11-2024</t>
  </si>
  <si>
    <t>28-12-2024</t>
  </si>
  <si>
    <t>07-12-2024</t>
  </si>
  <si>
    <t>08-04-2024</t>
  </si>
  <si>
    <t>26-07-2024</t>
  </si>
  <si>
    <t>23-10-2024</t>
  </si>
  <si>
    <t>18-09-2024</t>
  </si>
  <si>
    <t>13-01-2024</t>
  </si>
  <si>
    <t>21-08-2024</t>
  </si>
  <si>
    <t>31-03-2024</t>
  </si>
  <si>
    <t>09-03-2024</t>
  </si>
  <si>
    <t>07-10-2024</t>
  </si>
  <si>
    <t>06-05-2024</t>
  </si>
  <si>
    <t>09-02-2024</t>
  </si>
  <si>
    <t>03-10-2024</t>
  </si>
  <si>
    <t>21-12-2024</t>
  </si>
  <si>
    <t>18-06-2024</t>
  </si>
  <si>
    <t>18-07-2024</t>
  </si>
  <si>
    <t>01-06-2024</t>
  </si>
  <si>
    <t>19-05-2024</t>
  </si>
  <si>
    <t>08-12-2024</t>
  </si>
  <si>
    <t>20-07-2024</t>
  </si>
  <si>
    <t>09-05-2024</t>
  </si>
  <si>
    <t>28-06-2024</t>
  </si>
  <si>
    <t>12-04-2024</t>
  </si>
  <si>
    <t>22-02-2024</t>
  </si>
  <si>
    <t>04-12-2024</t>
  </si>
  <si>
    <t>07-09-2024</t>
  </si>
  <si>
    <t>30-10-2024</t>
  </si>
  <si>
    <t>18-08-2024</t>
  </si>
  <si>
    <t>10-09-2024</t>
  </si>
  <si>
    <t>12-05-2024</t>
  </si>
  <si>
    <t>21-09-2024</t>
  </si>
  <si>
    <t>11-10-2024</t>
  </si>
  <si>
    <t>29-06-2024</t>
  </si>
  <si>
    <t>21-02-2024</t>
  </si>
  <si>
    <t>03-06-2024</t>
  </si>
  <si>
    <t>20-10-2024</t>
  </si>
  <si>
    <t>04-04-2024</t>
  </si>
  <si>
    <t>15-10-2024</t>
  </si>
  <si>
    <t>16-04-2024</t>
  </si>
  <si>
    <t>29-03-2024</t>
  </si>
  <si>
    <t>18-12-2024</t>
  </si>
  <si>
    <t>27-12-2024</t>
  </si>
  <si>
    <t>16-11-2024</t>
  </si>
  <si>
    <t>27-11-2024</t>
  </si>
  <si>
    <t>25-03-2024</t>
  </si>
  <si>
    <t>12-08-2024</t>
  </si>
  <si>
    <t>14-01-2024</t>
  </si>
  <si>
    <t>30-03-2024</t>
  </si>
  <si>
    <t>21-11-2024</t>
  </si>
  <si>
    <t>19-06-2024</t>
  </si>
  <si>
    <t>25-07-2024</t>
  </si>
  <si>
    <t>22-09-2024</t>
  </si>
  <si>
    <t>09-10-2024</t>
  </si>
  <si>
    <t>01-03-2024</t>
  </si>
  <si>
    <t>31-07-2024</t>
  </si>
  <si>
    <t>15-07-2024</t>
  </si>
  <si>
    <t>23-06-2024</t>
  </si>
  <si>
    <t>17-03-2024</t>
  </si>
  <si>
    <t>28-07-2024</t>
  </si>
  <si>
    <t>15-11-2024</t>
  </si>
  <si>
    <t>11-06-2024</t>
  </si>
  <si>
    <t>26-04-2024</t>
  </si>
  <si>
    <t>30-05-2024</t>
  </si>
  <si>
    <t>28-09-2024</t>
  </si>
  <si>
    <t>08-11-2024</t>
  </si>
  <si>
    <t>28-04-2024</t>
  </si>
  <si>
    <t>26-08-2024</t>
  </si>
  <si>
    <t>27-10-2024</t>
  </si>
  <si>
    <t>11-04-2024</t>
  </si>
  <si>
    <t>19-10-2024</t>
  </si>
  <si>
    <t>20-05-2024</t>
  </si>
  <si>
    <t>13-12-2024</t>
  </si>
  <si>
    <t>18-01-2024</t>
  </si>
  <si>
    <t>22-06-2024</t>
  </si>
  <si>
    <t>12-12-2024</t>
  </si>
  <si>
    <t>15-05-2024</t>
  </si>
  <si>
    <t>22-11-2024</t>
  </si>
  <si>
    <t>13-11-2024</t>
  </si>
  <si>
    <t>28-11-2024</t>
  </si>
  <si>
    <t>04-06-2024</t>
  </si>
  <si>
    <t>17-07-2024</t>
  </si>
  <si>
    <t>19-12-2024</t>
  </si>
  <si>
    <t>21-05-2024</t>
  </si>
  <si>
    <t>24-11-2024</t>
  </si>
  <si>
    <t>16-10-2024</t>
  </si>
  <si>
    <t>08-01-2024</t>
  </si>
  <si>
    <t>02-02-2024</t>
  </si>
  <si>
    <t>19-08-2024</t>
  </si>
  <si>
    <t>01-02-2024</t>
  </si>
  <si>
    <t>30-12-2024</t>
  </si>
  <si>
    <t>03-02-2024</t>
  </si>
  <si>
    <t>08-08-2024</t>
  </si>
  <si>
    <t>23-07-2024</t>
  </si>
  <si>
    <t>06-12-2024</t>
  </si>
  <si>
    <t>16-02-2024</t>
  </si>
  <si>
    <t>25-02-2024</t>
  </si>
  <si>
    <t>07-08-2024</t>
  </si>
  <si>
    <t>25-12-2024</t>
  </si>
  <si>
    <t>14-03-2024</t>
  </si>
  <si>
    <t>27-01-2024</t>
  </si>
  <si>
    <t>14-08-2024</t>
  </si>
  <si>
    <t>20-04-2024</t>
  </si>
  <si>
    <t>02-11-2024</t>
  </si>
  <si>
    <t>11-03-2024</t>
  </si>
  <si>
    <t>11-09-2024</t>
  </si>
  <si>
    <t>13-09-2024</t>
  </si>
  <si>
    <t>10-01-2024</t>
  </si>
  <si>
    <t>11-01-2024</t>
  </si>
  <si>
    <t>11-08-2024</t>
  </si>
  <si>
    <t>25-09-2024</t>
  </si>
  <si>
    <t>27-06-2024</t>
  </si>
  <si>
    <t>11-05-2024</t>
  </si>
  <si>
    <t>07-06-2024</t>
  </si>
  <si>
    <t>26-05-2024</t>
  </si>
  <si>
    <t>21-01-2024</t>
  </si>
  <si>
    <t>12-10-2024</t>
  </si>
  <si>
    <t>25-04-2024</t>
  </si>
  <si>
    <t>19-03-2024</t>
  </si>
  <si>
    <t>29-07-2024</t>
  </si>
  <si>
    <t>17-08-2024</t>
  </si>
  <si>
    <t>07-07-2024</t>
  </si>
  <si>
    <t>09-07-2024</t>
  </si>
  <si>
    <t>14-09-2024</t>
  </si>
  <si>
    <t>03-03-2024</t>
  </si>
  <si>
    <t>03-05-2024</t>
  </si>
  <si>
    <t>04-02-2024</t>
  </si>
  <si>
    <t>10-07-2024</t>
  </si>
  <si>
    <t>06-10-2024</t>
  </si>
  <si>
    <t>10-03-2024</t>
  </si>
  <si>
    <t>05-10-2024</t>
  </si>
  <si>
    <t>01-07-2024</t>
  </si>
  <si>
    <t>10-02-2024</t>
  </si>
  <si>
    <t>10-11-2024</t>
  </si>
  <si>
    <t>15-08-2024</t>
  </si>
  <si>
    <t>12-09-2024</t>
  </si>
  <si>
    <t>19-04-2024</t>
  </si>
  <si>
    <t>07-02-2024</t>
  </si>
  <si>
    <t>27-08-2024</t>
  </si>
  <si>
    <t>02-09-2024</t>
  </si>
  <si>
    <t>06-03-2024</t>
  </si>
  <si>
    <t>04-03-2024</t>
  </si>
  <si>
    <t>29-12-2024</t>
  </si>
  <si>
    <t>10-04-2024</t>
  </si>
  <si>
    <t>29-11-2024</t>
  </si>
  <si>
    <t>04-09-2024</t>
  </si>
  <si>
    <t>09-06-2024</t>
  </si>
  <si>
    <t>20-09-2024</t>
  </si>
  <si>
    <t>22-10-2024</t>
  </si>
  <si>
    <t>15-09-2024</t>
  </si>
  <si>
    <t>25-01-2024</t>
  </si>
  <si>
    <t>06-07-2024</t>
  </si>
  <si>
    <t>04-11-2024</t>
  </si>
  <si>
    <t>16-06-2024</t>
  </si>
  <si>
    <t>17-01-2024</t>
  </si>
  <si>
    <t>02-08-2024</t>
  </si>
  <si>
    <t>27-05-2024</t>
  </si>
  <si>
    <t>01-12-2024</t>
  </si>
  <si>
    <t>30-09-2024</t>
  </si>
  <si>
    <t>22-07-2024</t>
  </si>
  <si>
    <t>14-02-2024</t>
  </si>
  <si>
    <t>14-06-2024</t>
  </si>
  <si>
    <t>16-08-2024</t>
  </si>
  <si>
    <t>06-06-2024</t>
  </si>
  <si>
    <t>29-02-2024</t>
  </si>
  <si>
    <t>29-01-2024</t>
  </si>
  <si>
    <t>13-10-2024</t>
  </si>
  <si>
    <t>02-01-2024</t>
  </si>
  <si>
    <t>24-12-2024</t>
  </si>
  <si>
    <t>14-07-2024</t>
  </si>
  <si>
    <t>30-11-2024</t>
  </si>
  <si>
    <t>27-09-2024</t>
  </si>
  <si>
    <t>25-08-2024</t>
  </si>
  <si>
    <t>26-06-2024</t>
  </si>
  <si>
    <t>01-05-2024</t>
  </si>
  <si>
    <t>10-05-2024</t>
  </si>
  <si>
    <t>24-05-2024</t>
  </si>
  <si>
    <t>03-07-2024</t>
  </si>
  <si>
    <t>14-04-2024</t>
  </si>
  <si>
    <t>15-03-2024</t>
  </si>
  <si>
    <t>27-03-2024</t>
  </si>
  <si>
    <t>21-04-2024</t>
  </si>
  <si>
    <t>07-01-2024</t>
  </si>
  <si>
    <t>01-04-2024</t>
  </si>
  <si>
    <t>12-07-2024</t>
  </si>
  <si>
    <t>20-11-2024</t>
  </si>
  <si>
    <t>24-02-2024</t>
  </si>
  <si>
    <t>18-05-2024</t>
  </si>
  <si>
    <t>17-05-2024</t>
  </si>
  <si>
    <t>08-05-2024</t>
  </si>
  <si>
    <t>17-06-2024</t>
  </si>
  <si>
    <t>02-06-2024</t>
  </si>
  <si>
    <t>15-06-2024</t>
  </si>
  <si>
    <t>20-02-2024</t>
  </si>
  <si>
    <t>19-07-2024</t>
  </si>
  <si>
    <t>23-02-2024</t>
  </si>
  <si>
    <t>26-12-2024</t>
  </si>
  <si>
    <t>01-10-2024</t>
  </si>
  <si>
    <t>28-02-2024</t>
  </si>
  <si>
    <t>12-11-2024</t>
  </si>
  <si>
    <t>21-10-2024</t>
  </si>
  <si>
    <t>10-06-2024</t>
  </si>
  <si>
    <t>22-04-2024</t>
  </si>
  <si>
    <t>05-08-2024</t>
  </si>
  <si>
    <t>14-05-2024</t>
  </si>
  <si>
    <t>17-04-2024</t>
  </si>
  <si>
    <t>15-04-2024</t>
  </si>
  <si>
    <t>01-11-2024</t>
  </si>
  <si>
    <t>24-10-2024</t>
  </si>
  <si>
    <t>22-03-2024</t>
  </si>
  <si>
    <t>22-12-2024</t>
  </si>
  <si>
    <t>06-02-2024</t>
  </si>
  <si>
    <t>13-08-2024</t>
  </si>
  <si>
    <t>26-11-2024</t>
  </si>
  <si>
    <t>09-01-2024</t>
  </si>
  <si>
    <t>12-02-2024</t>
  </si>
  <si>
    <t>01-08-2024</t>
  </si>
  <si>
    <t>23-09-2024</t>
  </si>
  <si>
    <t>08-02-2024</t>
  </si>
  <si>
    <t>21-07-2024</t>
  </si>
  <si>
    <t>15-12-2024</t>
  </si>
  <si>
    <t>02-04-2024</t>
  </si>
  <si>
    <t>30-01-2024</t>
  </si>
  <si>
    <t>23-12-2024</t>
  </si>
  <si>
    <t>16-03-2024</t>
  </si>
  <si>
    <t>17-10-2024</t>
  </si>
  <si>
    <t>23-11-2024</t>
  </si>
  <si>
    <t>12-06-2024</t>
  </si>
  <si>
    <t>11-07-2024</t>
  </si>
  <si>
    <t>11-02-2024</t>
  </si>
  <si>
    <t>18-03-2024</t>
  </si>
  <si>
    <t>27-02-2024</t>
  </si>
  <si>
    <t>13-06-2024</t>
  </si>
  <si>
    <t>25-06-2024</t>
  </si>
  <si>
    <t>21-06-2024</t>
  </si>
  <si>
    <t>06-04-2024</t>
  </si>
  <si>
    <t>28-03-2024</t>
  </si>
  <si>
    <t>26-10-2024</t>
  </si>
  <si>
    <t>19-11-2024</t>
  </si>
  <si>
    <t>31-10-2024</t>
  </si>
  <si>
    <t>30-08-2024</t>
  </si>
  <si>
    <t>05-01-2024</t>
  </si>
  <si>
    <t>14-11-2024</t>
  </si>
  <si>
    <t>03-09-2024</t>
  </si>
  <si>
    <t>06-01-2024</t>
  </si>
  <si>
    <t>08-09-2024</t>
  </si>
  <si>
    <t>23-08-2024</t>
  </si>
  <si>
    <t>17-09-2024</t>
  </si>
  <si>
    <t>09-09-2024</t>
  </si>
  <si>
    <t>17-12-2024</t>
  </si>
  <si>
    <t>11-12-2024</t>
  </si>
  <si>
    <t>20-12-2024</t>
  </si>
  <si>
    <t>26-09-2024</t>
  </si>
  <si>
    <t>10-12-2024</t>
  </si>
  <si>
    <t>02-10-2024</t>
  </si>
  <si>
    <t>09-04-2024</t>
  </si>
  <si>
    <t>03-11-2024</t>
  </si>
  <si>
    <t>03-01-2024</t>
  </si>
  <si>
    <t>06-08-2024</t>
  </si>
  <si>
    <t>09-11-2024</t>
  </si>
  <si>
    <t>19-09-2024</t>
  </si>
  <si>
    <t>13-04-2024</t>
  </si>
  <si>
    <t>06-09-2024</t>
  </si>
  <si>
    <t>18-11-2024</t>
  </si>
  <si>
    <t>05-03-2024</t>
  </si>
  <si>
    <t>15-02-2024</t>
  </si>
  <si>
    <t>20-03-2024</t>
  </si>
  <si>
    <t>04-01-2024</t>
  </si>
  <si>
    <t>25-05-2024</t>
  </si>
  <si>
    <t>02-07-2024</t>
  </si>
  <si>
    <t>07-04-2024</t>
  </si>
  <si>
    <t>05-09-2024</t>
  </si>
  <si>
    <t>02-12-2024</t>
  </si>
  <si>
    <t>11-11-2024</t>
  </si>
  <si>
    <t>18-02-2024</t>
  </si>
  <si>
    <t>05-06-2024</t>
  </si>
  <si>
    <t>29-08-2024</t>
  </si>
  <si>
    <t>25-10-2024</t>
  </si>
  <si>
    <t>24-08-2024</t>
  </si>
  <si>
    <t>20-06-2024</t>
  </si>
  <si>
    <t>07-11-2024</t>
  </si>
  <si>
    <t>19-01-2024</t>
  </si>
  <si>
    <t>24-01-2024</t>
  </si>
  <si>
    <t>28-08-2024</t>
  </si>
  <si>
    <t>16-01-2024</t>
  </si>
  <si>
    <t>19-02-2024</t>
  </si>
  <si>
    <t>01-09-2024</t>
  </si>
  <si>
    <t>Sanjay</t>
  </si>
  <si>
    <t>Kavya</t>
  </si>
  <si>
    <t>Ravi</t>
  </si>
  <si>
    <t>Pooja</t>
  </si>
  <si>
    <t>Karan</t>
  </si>
  <si>
    <t>Priya</t>
  </si>
  <si>
    <t>Manish</t>
  </si>
  <si>
    <t>Sneha</t>
  </si>
  <si>
    <t>Neha</t>
  </si>
  <si>
    <t>Rahul</t>
  </si>
  <si>
    <t>Simran</t>
  </si>
  <si>
    <t>Arjun</t>
  </si>
  <si>
    <t>Rohit</t>
  </si>
  <si>
    <t>Vikas</t>
  </si>
  <si>
    <t>Anjali</t>
  </si>
  <si>
    <t>Aman</t>
  </si>
  <si>
    <t>Bangalore</t>
  </si>
  <si>
    <t>Delhi</t>
  </si>
  <si>
    <t>Lucknow</t>
  </si>
  <si>
    <t>Pune</t>
  </si>
  <si>
    <t>Mumbai</t>
  </si>
  <si>
    <t>Chennai</t>
  </si>
  <si>
    <t>Jaipur</t>
  </si>
  <si>
    <t>Hyderabad</t>
  </si>
  <si>
    <t>Phone</t>
  </si>
  <si>
    <t>Laptop</t>
  </si>
  <si>
    <t>Keyboard</t>
  </si>
  <si>
    <t>Tablet</t>
  </si>
  <si>
    <t>Headphones</t>
  </si>
  <si>
    <t>Table</t>
  </si>
  <si>
    <t>Chair</t>
  </si>
  <si>
    <t>Monitor</t>
  </si>
  <si>
    <t>Electronics</t>
  </si>
  <si>
    <t>Accessories</t>
  </si>
  <si>
    <t>Furniture</t>
  </si>
  <si>
    <t>Total Revenue Generated</t>
  </si>
  <si>
    <t>Total Order Count</t>
  </si>
  <si>
    <t>Average Order Value</t>
  </si>
  <si>
    <t>Row Labels</t>
  </si>
  <si>
    <t>Grand Total</t>
  </si>
  <si>
    <t>Sum of Sales</t>
  </si>
  <si>
    <t>Electronics Sales</t>
  </si>
  <si>
    <t>Sorted By Category</t>
  </si>
  <si>
    <t>Average of Sales</t>
  </si>
  <si>
    <t>Category Name</t>
  </si>
  <si>
    <t>Aveage</t>
  </si>
  <si>
    <t>Contribution</t>
  </si>
  <si>
    <t>Average Discount Valus</t>
  </si>
  <si>
    <t>Sum of Quantity</t>
  </si>
  <si>
    <t>Revenue Generated</t>
  </si>
  <si>
    <t>Total Discount Given Till Now</t>
  </si>
  <si>
    <t>Total Revenue</t>
  </si>
  <si>
    <t>January</t>
  </si>
  <si>
    <t>February</t>
  </si>
  <si>
    <t>March</t>
  </si>
  <si>
    <t>April</t>
  </si>
  <si>
    <t>May</t>
  </si>
  <si>
    <t>June</t>
  </si>
  <si>
    <t>July</t>
  </si>
  <si>
    <t>August</t>
  </si>
  <si>
    <t>September</t>
  </si>
  <si>
    <t>October</t>
  </si>
  <si>
    <t>November</t>
  </si>
  <si>
    <t>December</t>
  </si>
  <si>
    <t>Values</t>
  </si>
  <si>
    <t>Column Labels</t>
  </si>
  <si>
    <t>Special Block</t>
  </si>
  <si>
    <t>Month</t>
  </si>
  <si>
    <t>Distinct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</si>
</sst>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b/>
      <sz val="11"/>
      <color theme="1"/>
      <name val="Calibri"/>
      <family val="2"/>
      <scheme val="minor"/>
    </font>
    <font>
      <sz val="11"/>
      <color theme="0"/>
      <name val="Calibri"/>
      <family val="2"/>
      <scheme val="minor"/>
    </font>
    <font>
      <b/>
      <sz val="11"/>
      <color theme="1"/>
      <name val="Calibri"/>
      <scheme val="minor"/>
    </font>
    <font>
      <sz val="11"/>
      <color theme="1"/>
      <name val="Calibri"/>
      <family val="2"/>
      <scheme val="minor"/>
    </font>
  </fonts>
  <fills count="3">
    <fill>
      <patternFill patternType="none"/>
    </fill>
    <fill>
      <patternFill patternType="gray125"/>
    </fill>
    <fill>
      <patternFill patternType="solid">
        <fgColor rgb="FF00B0F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9" fontId="4" fillId="0" borderId="0" applyFont="0" applyFill="0" applyBorder="0" applyAlignment="0" applyProtection="0"/>
  </cellStyleXfs>
  <cellXfs count="38">
    <xf numFmtId="0" fontId="0" fillId="0" borderId="0" xfId="0"/>
    <xf numFmtId="0" fontId="1" fillId="0" borderId="0" xfId="0" applyFont="1" applyBorder="1" applyAlignment="1">
      <alignment horizontal="center" vertical="center"/>
    </xf>
    <xf numFmtId="0" fontId="0" fillId="0" borderId="0" xfId="0" applyAlignment="1">
      <alignment horizontal="center" vertical="center"/>
    </xf>
    <xf numFmtId="1" fontId="0" fillId="0" borderId="0" xfId="0" applyNumberFormat="1" applyAlignment="1">
      <alignment horizontal="center" vertical="center"/>
    </xf>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xf numFmtId="10" fontId="0" fillId="0" borderId="0" xfId="0" applyNumberFormat="1"/>
    <xf numFmtId="0" fontId="0" fillId="0" borderId="1" xfId="0" applyBorder="1"/>
    <xf numFmtId="1" fontId="0" fillId="0" borderId="1" xfId="0" applyNumberFormat="1" applyBorder="1"/>
    <xf numFmtId="0" fontId="0" fillId="0" borderId="1" xfId="0" applyBorder="1" applyAlignment="1">
      <alignment horizontal="center"/>
    </xf>
    <xf numFmtId="1" fontId="0" fillId="0" borderId="1" xfId="0" applyNumberFormat="1" applyBorder="1" applyAlignment="1">
      <alignment horizontal="center"/>
    </xf>
    <xf numFmtId="164" fontId="0" fillId="0" borderId="1" xfId="0" applyNumberFormat="1" applyBorder="1" applyAlignment="1">
      <alignment horizontal="center"/>
    </xf>
    <xf numFmtId="0" fontId="0" fillId="0" borderId="1" xfId="0" applyBorder="1" applyAlignment="1">
      <alignment horizontal="center"/>
    </xf>
    <xf numFmtId="0" fontId="0" fillId="0" borderId="1" xfId="0" applyFill="1" applyBorder="1" applyAlignment="1">
      <alignment horizontal="center"/>
    </xf>
    <xf numFmtId="0" fontId="0" fillId="0" borderId="1" xfId="0" applyBorder="1" applyAlignment="1">
      <alignment horizontal="center"/>
    </xf>
    <xf numFmtId="0" fontId="0" fillId="0" borderId="0" xfId="0" applyBorder="1"/>
    <xf numFmtId="0" fontId="0" fillId="0" borderId="0" xfId="0" applyBorder="1" applyAlignment="1">
      <alignment horizontal="center"/>
    </xf>
    <xf numFmtId="0" fontId="0" fillId="0" borderId="0" xfId="0" applyBorder="1" applyAlignment="1"/>
    <xf numFmtId="0" fontId="0" fillId="0" borderId="0" xfId="0" applyNumberFormat="1" applyAlignment="1">
      <alignment vertical="center"/>
    </xf>
    <xf numFmtId="0" fontId="1" fillId="0" borderId="0" xfId="0" applyFont="1" applyBorder="1" applyAlignment="1">
      <alignment vertical="center"/>
    </xf>
    <xf numFmtId="0" fontId="0" fillId="2" borderId="0" xfId="0" applyFill="1"/>
    <xf numFmtId="0" fontId="2" fillId="2" borderId="0" xfId="0" applyFont="1" applyFill="1"/>
    <xf numFmtId="0" fontId="0" fillId="0" borderId="1" xfId="0" applyBorder="1" applyAlignment="1">
      <alignment horizontal="center"/>
    </xf>
    <xf numFmtId="0" fontId="0" fillId="0" borderId="1" xfId="0" applyBorder="1" applyAlignment="1"/>
    <xf numFmtId="0" fontId="0" fillId="0" borderId="2" xfId="0" applyBorder="1" applyAlignment="1"/>
    <xf numFmtId="0" fontId="0" fillId="0" borderId="2" xfId="0" applyBorder="1"/>
    <xf numFmtId="0" fontId="0" fillId="0" borderId="3" xfId="0" applyBorder="1"/>
    <xf numFmtId="0" fontId="0" fillId="0" borderId="1" xfId="0" applyFill="1" applyBorder="1"/>
    <xf numFmtId="0" fontId="3" fillId="0" borderId="0" xfId="0" applyFont="1" applyAlignment="1">
      <alignment horizontal="center" vertical="center"/>
    </xf>
    <xf numFmtId="0" fontId="0" fillId="0" borderId="0" xfId="0" pivotButton="1" applyAlignment="1">
      <alignment horizontal="left"/>
    </xf>
    <xf numFmtId="1" fontId="0" fillId="0" borderId="0" xfId="0" pivotButton="1" applyNumberFormat="1"/>
    <xf numFmtId="10" fontId="0" fillId="0" borderId="0" xfId="0" pivotButton="1" applyNumberFormat="1"/>
    <xf numFmtId="9" fontId="0" fillId="0" borderId="0" xfId="1" applyFont="1"/>
    <xf numFmtId="0" fontId="0" fillId="0" borderId="1" xfId="0" applyBorder="1" applyAlignment="1">
      <alignment horizontal="center"/>
    </xf>
    <xf numFmtId="0" fontId="0" fillId="0" borderId="1" xfId="0" applyFill="1" applyBorder="1" applyAlignment="1">
      <alignment horizontal="center"/>
    </xf>
  </cellXfs>
  <cellStyles count="2">
    <cellStyle name="Normal" xfId="0" builtinId="0"/>
    <cellStyle name="Percent" xfId="1" builtinId="5"/>
  </cellStyles>
  <dxfs count="23">
    <dxf>
      <numFmt numFmtId="0" formatCode="General"/>
      <alignment horizontal="center" vertical="center" textRotation="0" wrapText="0" relativeIndent="0" justifyLastLine="0" shrinkToFit="0" readingOrder="0"/>
    </dxf>
    <dxf>
      <numFmt numFmtId="1" formatCode="0"/>
    </dxf>
    <dxf>
      <numFmt numFmtId="14" formatCode="0.00%"/>
    </dxf>
    <dxf>
      <numFmt numFmtId="1" formatCode="0"/>
    </dxf>
    <dxf>
      <numFmt numFmtId="1" formatCode="0"/>
    </dxf>
    <dxf>
      <numFmt numFmtId="1" formatCode="0"/>
    </dxf>
    <dxf>
      <numFmt numFmtId="14" formatCode="0.00%"/>
    </dxf>
    <dxf>
      <numFmt numFmtId="1" formatCode="0"/>
    </dxf>
    <dxf>
      <numFmt numFmtId="1" formatCode="0"/>
    </dxf>
    <dxf>
      <numFmt numFmtId="1" formatCode="0"/>
    </dxf>
    <dxf>
      <alignment horizontal="center" vertical="center" textRotation="0" wrapText="0" relativeIndent="0" justifyLastLine="0" shrinkToFit="0" readingOrder="0"/>
    </dxf>
    <dxf>
      <numFmt numFmtId="1" formatCode="0"/>
      <alignment horizontal="center" vertical="center" textRotation="0" wrapText="0" relativeIndent="0" justifyLastLine="0" shrinkToFit="0" readingOrder="0"/>
    </dxf>
    <dxf>
      <alignment horizontal="center" vertical="center" textRotation="0" wrapText="0" relativeIndent="0" justifyLastLine="0" shrinkToFit="0" readingOrder="0"/>
    </dxf>
    <dxf>
      <alignment horizontal="center" vertical="center" textRotation="0" wrapText="0" relativeIndent="0" justifyLastLine="0" shrinkToFit="0" readingOrder="0"/>
    </dxf>
    <dxf>
      <alignment horizontal="center" vertical="center" textRotation="0" wrapText="0" relativeIndent="0" justifyLastLine="0" shrinkToFit="0" readingOrder="0"/>
    </dxf>
    <dxf>
      <alignment horizontal="center" vertical="center" textRotation="0" wrapText="0" relativeIndent="0" justifyLastLine="0" shrinkToFit="0" readingOrder="0"/>
    </dxf>
    <dxf>
      <alignment horizontal="center" vertical="center" textRotation="0" wrapText="0" relativeIndent="0" justifyLastLine="0" shrinkToFit="0" readingOrder="0"/>
    </dxf>
    <dxf>
      <alignment horizontal="center" vertical="center" textRotation="0" wrapText="0" relativeIndent="0" justifyLastLine="0" shrinkToFit="0" readingOrder="0"/>
    </dxf>
    <dxf>
      <alignment horizontal="center" vertical="center" textRotation="0" wrapText="0" relativeIndent="0" justifyLastLine="0" shrinkToFit="0" readingOrder="0"/>
    </dxf>
    <dxf>
      <numFmt numFmtId="0" formatCode="General"/>
      <alignment horizontal="general" vertical="center" textRotation="0" wrapText="0" indent="0" justifyLastLine="0" shrinkToFit="0" readingOrder="0"/>
    </dxf>
    <dxf>
      <alignment horizontal="center" vertical="center" textRotation="0" wrapText="0" relativeIndent="0" justifyLastLine="0" shrinkToFit="0" readingOrder="0"/>
    </dxf>
    <dxf>
      <alignment horizontal="center" vertical="center" textRotation="0" wrapText="0" relative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0" relative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Dataset.xlsx]Pivot For Dashboard!Month_Wise_Sales</c:name>
    <c:fmtId val="5"/>
  </c:pivotSource>
  <c:chart>
    <c:autoTitleDeleted val="1"/>
    <c:pivotFmts>
      <c:pivotFmt>
        <c:idx val="0"/>
      </c:pivotFmt>
      <c:pivotFmt>
        <c:idx val="1"/>
      </c:pivotFmt>
      <c:pivotFmt>
        <c:idx val="2"/>
        <c:spPr>
          <a:ln w="31750" cap="rnd">
            <a:solidFill>
              <a:schemeClr val="accent1"/>
            </a:solidFill>
            <a:round/>
          </a:ln>
          <a:effectLst>
            <a:outerShdw blurRad="40000" dist="23000" dir="5400000" rotWithShape="0">
              <a:srgbClr val="000000">
                <a:alpha val="35000"/>
              </a:srgbClr>
            </a:outerShdw>
          </a:effectLst>
        </c:spPr>
        <c:marker>
          <c:symbol val="circle"/>
          <c:size val="6"/>
          <c:spPr>
            <a:noFill/>
            <a:ln w="12700">
              <a:solidFill>
                <a:schemeClr val="lt2"/>
              </a:solidFill>
              <a:round/>
            </a:ln>
            <a:effectLst>
              <a:outerShdw blurRad="40000" dist="23000" dir="5400000" rotWithShape="0">
                <a:srgbClr val="000000">
                  <a:alpha val="35000"/>
                </a:srgbClr>
              </a:outerShdw>
            </a:effectLst>
          </c:spPr>
        </c:marker>
      </c:pivotFmt>
    </c:pivotFmts>
    <c:plotArea>
      <c:layout/>
      <c:lineChart>
        <c:grouping val="standard"/>
        <c:varyColors val="0"/>
        <c:ser>
          <c:idx val="0"/>
          <c:order val="0"/>
          <c:tx>
            <c:strRef>
              <c:f>'Pivot For Dashboard'!$C$2</c:f>
              <c:strCache>
                <c:ptCount val="1"/>
                <c:pt idx="0">
                  <c:v>Total</c:v>
                </c:pt>
              </c:strCache>
            </c:strRef>
          </c:tx>
          <c:spPr>
            <a:ln w="31750" cap="rnd">
              <a:solidFill>
                <a:schemeClr val="accent1"/>
              </a:solidFill>
              <a:round/>
            </a:ln>
            <a:effectLst>
              <a:outerShdw blurRad="40000" dist="23000" dir="5400000" rotWithShape="0">
                <a:srgbClr val="000000">
                  <a:alpha val="35000"/>
                </a:srgbClr>
              </a:outerShdw>
            </a:effectLst>
          </c:spPr>
          <c:marker>
            <c:symbol val="circle"/>
            <c:size val="6"/>
            <c:spPr>
              <a:noFill/>
              <a:ln w="12700">
                <a:solidFill>
                  <a:schemeClr val="lt2"/>
                </a:solidFill>
                <a:round/>
              </a:ln>
              <a:effectLst>
                <a:outerShdw blurRad="40000" dist="23000" dir="5400000" rotWithShape="0">
                  <a:srgbClr val="000000">
                    <a:alpha val="35000"/>
                  </a:srgbClr>
                </a:outerShdw>
              </a:effectLst>
            </c:spPr>
          </c:marker>
          <c:cat>
            <c:strRef>
              <c:f>'Pivot For Dashboard'!$B$3:$B$15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For Dashboard'!$C$3:$C$15</c:f>
              <c:numCache>
                <c:formatCode>General</c:formatCode>
                <c:ptCount val="12"/>
                <c:pt idx="0">
                  <c:v>3708600</c:v>
                </c:pt>
                <c:pt idx="1">
                  <c:v>2721100</c:v>
                </c:pt>
                <c:pt idx="2">
                  <c:v>4317475</c:v>
                </c:pt>
                <c:pt idx="3">
                  <c:v>4268200</c:v>
                </c:pt>
                <c:pt idx="4">
                  <c:v>3667175</c:v>
                </c:pt>
                <c:pt idx="5">
                  <c:v>4096650</c:v>
                </c:pt>
                <c:pt idx="6">
                  <c:v>3421650</c:v>
                </c:pt>
                <c:pt idx="7">
                  <c:v>3651050</c:v>
                </c:pt>
                <c:pt idx="8">
                  <c:v>3630525</c:v>
                </c:pt>
                <c:pt idx="9">
                  <c:v>3021825</c:v>
                </c:pt>
                <c:pt idx="10">
                  <c:v>3667675</c:v>
                </c:pt>
                <c:pt idx="11">
                  <c:v>4781050</c:v>
                </c:pt>
              </c:numCache>
            </c:numRef>
          </c:val>
          <c:smooth val="0"/>
          <c:extLst>
            <c:ext xmlns:c16="http://schemas.microsoft.com/office/drawing/2014/chart" uri="{C3380CC4-5D6E-409C-BE32-E72D297353CC}">
              <c16:uniqueId val="{00000000-C1B1-4C9D-B35C-D43985E0931A}"/>
            </c:ext>
          </c:extLst>
        </c:ser>
        <c:dLbls>
          <c:showLegendKey val="0"/>
          <c:showVal val="0"/>
          <c:showCatName val="0"/>
          <c:showSerName val="0"/>
          <c:showPercent val="0"/>
          <c:showBubbleSize val="0"/>
        </c:dLbls>
        <c:marker val="1"/>
        <c:smooth val="0"/>
        <c:axId val="282429152"/>
        <c:axId val="247503680"/>
      </c:lineChart>
      <c:catAx>
        <c:axId val="282429152"/>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47503680"/>
        <c:crosses val="autoZero"/>
        <c:auto val="1"/>
        <c:lblAlgn val="ctr"/>
        <c:lblOffset val="100"/>
        <c:noMultiLvlLbl val="0"/>
      </c:catAx>
      <c:valAx>
        <c:axId val="24750368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8242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Dataset.xlsx]Pivot For Dashboard!Product_Wise_Sales</c:name>
    <c:fmtId val="11"/>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s>
    <c:plotArea>
      <c:layout/>
      <c:barChart>
        <c:barDir val="bar"/>
        <c:grouping val="clustered"/>
        <c:varyColors val="0"/>
        <c:ser>
          <c:idx val="0"/>
          <c:order val="0"/>
          <c:tx>
            <c:strRef>
              <c:f>'Pivot For Dashboard'!$F$2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For Dashboard'!$E$3:$E$11</c:f>
              <c:strCache>
                <c:ptCount val="8"/>
                <c:pt idx="0">
                  <c:v>Laptop</c:v>
                </c:pt>
                <c:pt idx="1">
                  <c:v>Tablet</c:v>
                </c:pt>
                <c:pt idx="2">
                  <c:v>Phone</c:v>
                </c:pt>
                <c:pt idx="3">
                  <c:v>Monitor</c:v>
                </c:pt>
                <c:pt idx="4">
                  <c:v>Table</c:v>
                </c:pt>
                <c:pt idx="5">
                  <c:v>Chair</c:v>
                </c:pt>
                <c:pt idx="6">
                  <c:v>Headphones</c:v>
                </c:pt>
                <c:pt idx="7">
                  <c:v>Keyboard</c:v>
                </c:pt>
              </c:strCache>
            </c:strRef>
          </c:cat>
          <c:val>
            <c:numRef>
              <c:f>'Pivot For Dashboard'!$F$3:$F$11</c:f>
              <c:numCache>
                <c:formatCode>General</c:formatCode>
                <c:ptCount val="8"/>
                <c:pt idx="0">
                  <c:v>17447500</c:v>
                </c:pt>
                <c:pt idx="1">
                  <c:v>11145000</c:v>
                </c:pt>
                <c:pt idx="2">
                  <c:v>7932000</c:v>
                </c:pt>
                <c:pt idx="3">
                  <c:v>4081800</c:v>
                </c:pt>
                <c:pt idx="4">
                  <c:v>2129050</c:v>
                </c:pt>
                <c:pt idx="5">
                  <c:v>988050</c:v>
                </c:pt>
                <c:pt idx="6">
                  <c:v>660100</c:v>
                </c:pt>
                <c:pt idx="7">
                  <c:v>569475</c:v>
                </c:pt>
              </c:numCache>
            </c:numRef>
          </c:val>
          <c:extLst>
            <c:ext xmlns:c16="http://schemas.microsoft.com/office/drawing/2014/chart" uri="{C3380CC4-5D6E-409C-BE32-E72D297353CC}">
              <c16:uniqueId val="{00000000-914A-48F3-B2A0-5B500EADF659}"/>
            </c:ext>
          </c:extLst>
        </c:ser>
        <c:dLbls>
          <c:showLegendKey val="0"/>
          <c:showVal val="0"/>
          <c:showCatName val="0"/>
          <c:showSerName val="0"/>
          <c:showPercent val="0"/>
          <c:showBubbleSize val="0"/>
        </c:dLbls>
        <c:gapWidth val="100"/>
        <c:axId val="238581968"/>
        <c:axId val="286206752"/>
      </c:barChart>
      <c:catAx>
        <c:axId val="238581968"/>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86206752"/>
        <c:crosses val="autoZero"/>
        <c:auto val="1"/>
        <c:lblAlgn val="ctr"/>
        <c:lblOffset val="100"/>
        <c:noMultiLvlLbl val="0"/>
      </c:catAx>
      <c:valAx>
        <c:axId val="286206752"/>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38581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Dataset.xlsx]Pivot For Dashboard!Category_Wise_Sales</c:name>
    <c:fmtId val="14"/>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3.5697197296331133E-2"/>
              <c:y val="-2.57095404458679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8166336936174912"/>
              <c:y val="-0.280389627512951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1.9312959152327589E-2"/>
              <c:y val="-2.78484360386173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For Dashboard'!$I$2</c:f>
              <c:strCache>
                <c:ptCount val="1"/>
                <c:pt idx="0">
                  <c:v>Total</c:v>
                </c:pt>
              </c:strCache>
            </c:strRef>
          </c:tx>
          <c:dPt>
            <c:idx val="0"/>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6CA6-4077-A02F-DAD7108B384A}"/>
              </c:ext>
            </c:extLst>
          </c:dPt>
          <c:dPt>
            <c:idx val="1"/>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6CA6-4077-A02F-DAD7108B384A}"/>
              </c:ext>
            </c:extLst>
          </c:dPt>
          <c:dPt>
            <c:idx val="2"/>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6CA6-4077-A02F-DAD7108B384A}"/>
              </c:ext>
            </c:extLst>
          </c:dPt>
          <c:dLbls>
            <c:dLbl>
              <c:idx val="0"/>
              <c:layout>
                <c:manualLayout>
                  <c:x val="3.5697197296331133E-2"/>
                  <c:y val="-2.570954044586797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CA6-4077-A02F-DAD7108B384A}"/>
                </c:ext>
              </c:extLst>
            </c:dLbl>
            <c:dLbl>
              <c:idx val="1"/>
              <c:layout>
                <c:manualLayout>
                  <c:x val="-0.18166336936174912"/>
                  <c:y val="-0.280389627512951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CA6-4077-A02F-DAD7108B384A}"/>
                </c:ext>
              </c:extLst>
            </c:dLbl>
            <c:dLbl>
              <c:idx val="2"/>
              <c:layout>
                <c:manualLayout>
                  <c:x val="-1.9312959152327589E-2"/>
                  <c:y val="-2.784843603861732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CA6-4077-A02F-DAD7108B384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For Dashboard'!$H$3:$H$6</c:f>
              <c:strCache>
                <c:ptCount val="3"/>
                <c:pt idx="0">
                  <c:v>Accessories</c:v>
                </c:pt>
                <c:pt idx="1">
                  <c:v>Electronics</c:v>
                </c:pt>
                <c:pt idx="2">
                  <c:v>Furniture</c:v>
                </c:pt>
              </c:strCache>
            </c:strRef>
          </c:cat>
          <c:val>
            <c:numRef>
              <c:f>'Pivot For Dashboard'!$I$3:$I$6</c:f>
              <c:numCache>
                <c:formatCode>General</c:formatCode>
                <c:ptCount val="3"/>
                <c:pt idx="0">
                  <c:v>1229575</c:v>
                </c:pt>
                <c:pt idx="1">
                  <c:v>40606300</c:v>
                </c:pt>
                <c:pt idx="2">
                  <c:v>3117100</c:v>
                </c:pt>
              </c:numCache>
            </c:numRef>
          </c:val>
          <c:extLst>
            <c:ext xmlns:c16="http://schemas.microsoft.com/office/drawing/2014/chart" uri="{C3380CC4-5D6E-409C-BE32-E72D297353CC}">
              <c16:uniqueId val="{00000006-6CA6-4077-A02F-DAD7108B384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9525</xdr:colOff>
      <xdr:row>0</xdr:row>
      <xdr:rowOff>9525</xdr:rowOff>
    </xdr:from>
    <xdr:to>
      <xdr:col>26</xdr:col>
      <xdr:colOff>0</xdr:colOff>
      <xdr:row>3</xdr:row>
      <xdr:rowOff>19050</xdr:rowOff>
    </xdr:to>
    <xdr:sp macro="" textlink="">
      <xdr:nvSpPr>
        <xdr:cNvPr id="5" name="Rectangle 4">
          <a:extLst>
            <a:ext uri="{FF2B5EF4-FFF2-40B4-BE49-F238E27FC236}">
              <a16:creationId xmlns:a16="http://schemas.microsoft.com/office/drawing/2014/main" id="{00000000-0008-0000-0300-000005000000}"/>
            </a:ext>
          </a:extLst>
        </xdr:cNvPr>
        <xdr:cNvSpPr/>
      </xdr:nvSpPr>
      <xdr:spPr>
        <a:xfrm>
          <a:off x="9525" y="9525"/>
          <a:ext cx="15840075" cy="581025"/>
        </a:xfrm>
        <a:prstGeom prst="rect">
          <a:avLst/>
        </a:prstGeom>
        <a:solidFill>
          <a:schemeClr val="accent1"/>
        </a:solidFill>
      </xdr:spPr>
      <xdr:style>
        <a:lnRef idx="1">
          <a:schemeClr val="accent5"/>
        </a:lnRef>
        <a:fillRef idx="2">
          <a:schemeClr val="accent5"/>
        </a:fillRef>
        <a:effectRef idx="1">
          <a:schemeClr val="accent5"/>
        </a:effectRef>
        <a:fontRef idx="minor">
          <a:schemeClr val="dk1"/>
        </a:fontRef>
      </xdr:style>
      <xdr:txBody>
        <a:bodyPr rtlCol="0" anchor="ctr"/>
        <a:lstStyle/>
        <a:p>
          <a:pPr algn="ctr"/>
          <a:endParaRPr lang="en-US" sz="1100">
            <a:solidFill>
              <a:schemeClr val="tx2">
                <a:lumMod val="75000"/>
              </a:schemeClr>
            </a:solidFill>
          </a:endParaRPr>
        </a:p>
      </xdr:txBody>
    </xdr:sp>
    <xdr:clientData/>
  </xdr:twoCellAnchor>
  <xdr:twoCellAnchor>
    <xdr:from>
      <xdr:col>9</xdr:col>
      <xdr:colOff>201954</xdr:colOff>
      <xdr:row>0</xdr:row>
      <xdr:rowOff>1</xdr:rowOff>
    </xdr:from>
    <xdr:to>
      <xdr:col>17</xdr:col>
      <xdr:colOff>30504</xdr:colOff>
      <xdr:row>3</xdr:row>
      <xdr:rowOff>24115</xdr:rowOff>
    </xdr:to>
    <xdr:sp macro="" textlink="">
      <xdr:nvSpPr>
        <xdr:cNvPr id="6" name="TextBox 5">
          <a:extLst>
            <a:ext uri="{FF2B5EF4-FFF2-40B4-BE49-F238E27FC236}">
              <a16:creationId xmlns:a16="http://schemas.microsoft.com/office/drawing/2014/main" id="{00000000-0008-0000-0300-000006000000}"/>
            </a:ext>
          </a:extLst>
        </xdr:cNvPr>
        <xdr:cNvSpPr txBox="1"/>
      </xdr:nvSpPr>
      <xdr:spPr>
        <a:xfrm>
          <a:off x="5736100" y="1"/>
          <a:ext cx="4747790" cy="602848"/>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2800">
              <a:solidFill>
                <a:schemeClr val="bg1"/>
              </a:solidFill>
            </a:rPr>
            <a:t>Sales Performance Dashboard</a:t>
          </a:r>
        </a:p>
      </xdr:txBody>
    </xdr:sp>
    <xdr:clientData/>
  </xdr:twoCellAnchor>
  <xdr:twoCellAnchor>
    <xdr:from>
      <xdr:col>1</xdr:col>
      <xdr:colOff>23810</xdr:colOff>
      <xdr:row>4</xdr:row>
      <xdr:rowOff>59532</xdr:rowOff>
    </xdr:from>
    <xdr:to>
      <xdr:col>6</xdr:col>
      <xdr:colOff>428624</xdr:colOff>
      <xdr:row>9</xdr:row>
      <xdr:rowOff>71437</xdr:rowOff>
    </xdr:to>
    <xdr:grpSp>
      <xdr:nvGrpSpPr>
        <xdr:cNvPr id="8" name="Group 7">
          <a:extLst>
            <a:ext uri="{FF2B5EF4-FFF2-40B4-BE49-F238E27FC236}">
              <a16:creationId xmlns:a16="http://schemas.microsoft.com/office/drawing/2014/main" id="{9DE3E791-F990-4293-A1A2-FD923F640CB9}"/>
            </a:ext>
          </a:extLst>
        </xdr:cNvPr>
        <xdr:cNvGrpSpPr/>
      </xdr:nvGrpSpPr>
      <xdr:grpSpPr>
        <a:xfrm>
          <a:off x="631029" y="821532"/>
          <a:ext cx="3440908" cy="964405"/>
          <a:chOff x="1023936" y="1023938"/>
          <a:chExt cx="2627315" cy="1360748"/>
        </a:xfrm>
      </xdr:grpSpPr>
      <xdr:sp macro="" textlink="">
        <xdr:nvSpPr>
          <xdr:cNvPr id="7" name="TextBox 6">
            <a:extLst>
              <a:ext uri="{FF2B5EF4-FFF2-40B4-BE49-F238E27FC236}">
                <a16:creationId xmlns:a16="http://schemas.microsoft.com/office/drawing/2014/main" id="{00000000-0008-0000-0300-000007000000}"/>
              </a:ext>
            </a:extLst>
          </xdr:cNvPr>
          <xdr:cNvSpPr txBox="1"/>
        </xdr:nvSpPr>
        <xdr:spPr>
          <a:xfrm>
            <a:off x="1026800" y="1029492"/>
            <a:ext cx="2619097" cy="13109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endParaRPr lang="en-US" sz="1100"/>
          </a:p>
        </xdr:txBody>
      </xdr:sp>
      <mc:AlternateContent xmlns:mc="http://schemas.openxmlformats.org/markup-compatibility/2006">
        <mc:Choice xmlns:a14="http://schemas.microsoft.com/office/drawing/2010/main" Requires="a14">
          <xdr:graphicFrame macro="">
            <xdr:nvGraphicFramePr>
              <xdr:cNvPr id="13" name="Month 1">
                <a:extLst>
                  <a:ext uri="{FF2B5EF4-FFF2-40B4-BE49-F238E27FC236}">
                    <a16:creationId xmlns:a16="http://schemas.microsoft.com/office/drawing/2014/main" id="{CD1D2ACA-A74E-4B91-905E-0C377B23CD2B}"/>
                  </a:ext>
                </a:extLst>
              </xdr:cNvPr>
              <xdr:cNvGraphicFramePr/>
            </xdr:nvGraphicFramePr>
            <xdr:xfrm>
              <a:off x="1026802" y="1434305"/>
              <a:ext cx="2616717" cy="950381"/>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634783" y="1112372"/>
                <a:ext cx="3427028" cy="6735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21" name="Rectangle 20">
            <a:extLst>
              <a:ext uri="{FF2B5EF4-FFF2-40B4-BE49-F238E27FC236}">
                <a16:creationId xmlns:a16="http://schemas.microsoft.com/office/drawing/2014/main" id="{F3F64EB3-ADA4-43B5-B487-C7EB58C21786}"/>
              </a:ext>
            </a:extLst>
          </xdr:cNvPr>
          <xdr:cNvSpPr/>
        </xdr:nvSpPr>
        <xdr:spPr>
          <a:xfrm>
            <a:off x="1023936" y="1023938"/>
            <a:ext cx="2627315" cy="416718"/>
          </a:xfrm>
          <a:prstGeom prst="rect">
            <a:avLst/>
          </a:prstGeom>
          <a:gradFill>
            <a:gsLst>
              <a:gs pos="100000">
                <a:schemeClr val="tx2">
                  <a:lumMod val="40000"/>
                  <a:lumOff val="60000"/>
                </a:schemeClr>
              </a:gs>
              <a:gs pos="0">
                <a:srgbClr val="0070C0"/>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800"/>
              <a:t>Month</a:t>
            </a:r>
          </a:p>
        </xdr:txBody>
      </xdr:sp>
    </xdr:grpSp>
    <xdr:clientData/>
  </xdr:twoCellAnchor>
  <xdr:twoCellAnchor>
    <xdr:from>
      <xdr:col>7</xdr:col>
      <xdr:colOff>476250</xdr:colOff>
      <xdr:row>4</xdr:row>
      <xdr:rowOff>63501</xdr:rowOff>
    </xdr:from>
    <xdr:to>
      <xdr:col>13</xdr:col>
      <xdr:colOff>130968</xdr:colOff>
      <xdr:row>9</xdr:row>
      <xdr:rowOff>71437</xdr:rowOff>
    </xdr:to>
    <xdr:grpSp>
      <xdr:nvGrpSpPr>
        <xdr:cNvPr id="10" name="Group 9">
          <a:extLst>
            <a:ext uri="{FF2B5EF4-FFF2-40B4-BE49-F238E27FC236}">
              <a16:creationId xmlns:a16="http://schemas.microsoft.com/office/drawing/2014/main" id="{BA06A3CE-2A8C-4BD0-8FB6-CE3B8E00620C}"/>
            </a:ext>
          </a:extLst>
        </xdr:cNvPr>
        <xdr:cNvGrpSpPr/>
      </xdr:nvGrpSpPr>
      <xdr:grpSpPr>
        <a:xfrm>
          <a:off x="4726781" y="825501"/>
          <a:ext cx="3298031" cy="960436"/>
          <a:chOff x="4893469" y="1004094"/>
          <a:chExt cx="2631281" cy="1384562"/>
        </a:xfrm>
      </xdr:grpSpPr>
      <xdr:sp macro="" textlink="">
        <xdr:nvSpPr>
          <xdr:cNvPr id="9" name="TextBox 8">
            <a:extLst>
              <a:ext uri="{FF2B5EF4-FFF2-40B4-BE49-F238E27FC236}">
                <a16:creationId xmlns:a16="http://schemas.microsoft.com/office/drawing/2014/main" id="{48AD3643-A4F0-4771-8A8B-69E1E50F90E3}"/>
              </a:ext>
            </a:extLst>
          </xdr:cNvPr>
          <xdr:cNvSpPr txBox="1"/>
        </xdr:nvSpPr>
        <xdr:spPr>
          <a:xfrm>
            <a:off x="4898571" y="1006928"/>
            <a:ext cx="2610385" cy="137432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mc:AlternateContent xmlns:mc="http://schemas.openxmlformats.org/markup-compatibility/2006" xmlns:a14="http://schemas.microsoft.com/office/drawing/2010/main">
        <mc:Choice Requires="a14">
          <xdr:graphicFrame macro="">
            <xdr:nvGraphicFramePr>
              <xdr:cNvPr id="14" name="City">
                <a:extLst>
                  <a:ext uri="{FF2B5EF4-FFF2-40B4-BE49-F238E27FC236}">
                    <a16:creationId xmlns:a16="http://schemas.microsoft.com/office/drawing/2014/main" id="{5A97ABB8-EC2D-496B-B5D9-4E07857E917F}"/>
                  </a:ext>
                </a:extLst>
              </xdr:cNvPr>
              <xdr:cNvGraphicFramePr/>
            </xdr:nvGraphicFramePr>
            <xdr:xfrm>
              <a:off x="4899036" y="1435740"/>
              <a:ext cx="2621838" cy="952916"/>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4733759" y="1124923"/>
                <a:ext cx="3286195" cy="6610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23" name="Rectangle 22">
            <a:extLst>
              <a:ext uri="{FF2B5EF4-FFF2-40B4-BE49-F238E27FC236}">
                <a16:creationId xmlns:a16="http://schemas.microsoft.com/office/drawing/2014/main" id="{2D94D656-428C-4960-86ED-0CFD8D5B4791}"/>
              </a:ext>
            </a:extLst>
          </xdr:cNvPr>
          <xdr:cNvSpPr/>
        </xdr:nvSpPr>
        <xdr:spPr>
          <a:xfrm>
            <a:off x="4893469" y="1004094"/>
            <a:ext cx="2631281" cy="432594"/>
          </a:xfrm>
          <a:prstGeom prst="rect">
            <a:avLst/>
          </a:prstGeom>
          <a:gradFill>
            <a:gsLst>
              <a:gs pos="100000">
                <a:schemeClr val="tx2">
                  <a:lumMod val="40000"/>
                  <a:lumOff val="60000"/>
                </a:schemeClr>
              </a:gs>
              <a:gs pos="0">
                <a:srgbClr val="0070C0"/>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800"/>
              <a:t>City</a:t>
            </a:r>
          </a:p>
        </xdr:txBody>
      </xdr:sp>
    </xdr:grpSp>
    <xdr:clientData/>
  </xdr:twoCellAnchor>
  <xdr:twoCellAnchor>
    <xdr:from>
      <xdr:col>14</xdr:col>
      <xdr:colOff>178594</xdr:colOff>
      <xdr:row>4</xdr:row>
      <xdr:rowOff>71438</xdr:rowOff>
    </xdr:from>
    <xdr:to>
      <xdr:col>19</xdr:col>
      <xdr:colOff>240104</xdr:colOff>
      <xdr:row>9</xdr:row>
      <xdr:rowOff>95250</xdr:rowOff>
    </xdr:to>
    <xdr:grpSp>
      <xdr:nvGrpSpPr>
        <xdr:cNvPr id="22" name="Group 21">
          <a:extLst>
            <a:ext uri="{FF2B5EF4-FFF2-40B4-BE49-F238E27FC236}">
              <a16:creationId xmlns:a16="http://schemas.microsoft.com/office/drawing/2014/main" id="{CF412281-3B18-44AB-8642-0FD7BA894136}"/>
            </a:ext>
          </a:extLst>
        </xdr:cNvPr>
        <xdr:cNvGrpSpPr/>
      </xdr:nvGrpSpPr>
      <xdr:grpSpPr>
        <a:xfrm>
          <a:off x="8679657" y="833438"/>
          <a:ext cx="3097603" cy="976312"/>
          <a:chOff x="8727279" y="1035844"/>
          <a:chExt cx="2633262" cy="1349712"/>
        </a:xfrm>
      </xdr:grpSpPr>
      <xdr:sp macro="" textlink="">
        <xdr:nvSpPr>
          <xdr:cNvPr id="11" name="TextBox 10">
            <a:extLst>
              <a:ext uri="{FF2B5EF4-FFF2-40B4-BE49-F238E27FC236}">
                <a16:creationId xmlns:a16="http://schemas.microsoft.com/office/drawing/2014/main" id="{63E465B9-A0AA-4074-9C18-BF4B427DCAC3}"/>
              </a:ext>
            </a:extLst>
          </xdr:cNvPr>
          <xdr:cNvSpPr txBox="1"/>
        </xdr:nvSpPr>
        <xdr:spPr>
          <a:xfrm>
            <a:off x="8727279" y="1039999"/>
            <a:ext cx="2621345" cy="13336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mc:AlternateContent xmlns:mc="http://schemas.openxmlformats.org/markup-compatibility/2006" xmlns:a14="http://schemas.microsoft.com/office/drawing/2010/main">
        <mc:Choice Requires="a14">
          <xdr:graphicFrame macro="">
            <xdr:nvGraphicFramePr>
              <xdr:cNvPr id="15" name="Category">
                <a:extLst>
                  <a:ext uri="{FF2B5EF4-FFF2-40B4-BE49-F238E27FC236}">
                    <a16:creationId xmlns:a16="http://schemas.microsoft.com/office/drawing/2014/main" id="{CE11A455-ADAD-4A36-B873-D856C29EDB13}"/>
                  </a:ext>
                </a:extLst>
              </xdr:cNvPr>
              <xdr:cNvGraphicFramePr/>
            </xdr:nvGraphicFramePr>
            <xdr:xfrm>
              <a:off x="8738755" y="1456765"/>
              <a:ext cx="2621786" cy="928791"/>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693157" y="1137911"/>
                <a:ext cx="3084103" cy="671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24" name="Rectangle 23">
            <a:extLst>
              <a:ext uri="{FF2B5EF4-FFF2-40B4-BE49-F238E27FC236}">
                <a16:creationId xmlns:a16="http://schemas.microsoft.com/office/drawing/2014/main" id="{3C26B04B-B570-4F0E-9C0B-5B2681C51945}"/>
              </a:ext>
            </a:extLst>
          </xdr:cNvPr>
          <xdr:cNvSpPr/>
        </xdr:nvSpPr>
        <xdr:spPr>
          <a:xfrm>
            <a:off x="8727281" y="1035844"/>
            <a:ext cx="2631281" cy="424655"/>
          </a:xfrm>
          <a:prstGeom prst="rect">
            <a:avLst/>
          </a:prstGeom>
          <a:gradFill>
            <a:gsLst>
              <a:gs pos="100000">
                <a:schemeClr val="tx2">
                  <a:lumMod val="40000"/>
                  <a:lumOff val="60000"/>
                </a:schemeClr>
              </a:gs>
              <a:gs pos="0">
                <a:srgbClr val="0070C0"/>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800"/>
              <a:t>Categories</a:t>
            </a:r>
          </a:p>
        </xdr:txBody>
      </xdr:sp>
    </xdr:grpSp>
    <xdr:clientData/>
  </xdr:twoCellAnchor>
  <xdr:twoCellAnchor>
    <xdr:from>
      <xdr:col>20</xdr:col>
      <xdr:colOff>273844</xdr:colOff>
      <xdr:row>4</xdr:row>
      <xdr:rowOff>63500</xdr:rowOff>
    </xdr:from>
    <xdr:to>
      <xdr:col>25</xdr:col>
      <xdr:colOff>511969</xdr:colOff>
      <xdr:row>9</xdr:row>
      <xdr:rowOff>95249</xdr:rowOff>
    </xdr:to>
    <xdr:grpSp>
      <xdr:nvGrpSpPr>
        <xdr:cNvPr id="26" name="Group 25">
          <a:extLst>
            <a:ext uri="{FF2B5EF4-FFF2-40B4-BE49-F238E27FC236}">
              <a16:creationId xmlns:a16="http://schemas.microsoft.com/office/drawing/2014/main" id="{4B5EFAFB-CC35-4A0A-87D6-7741616A4AF5}"/>
            </a:ext>
          </a:extLst>
        </xdr:cNvPr>
        <xdr:cNvGrpSpPr/>
      </xdr:nvGrpSpPr>
      <xdr:grpSpPr>
        <a:xfrm>
          <a:off x="12418219" y="825500"/>
          <a:ext cx="3274219" cy="984249"/>
          <a:chOff x="12890500" y="1039813"/>
          <a:chExt cx="2559844" cy="1360900"/>
        </a:xfrm>
      </xdr:grpSpPr>
      <xdr:sp macro="" textlink="">
        <xdr:nvSpPr>
          <xdr:cNvPr id="12" name="TextBox 11">
            <a:extLst>
              <a:ext uri="{FF2B5EF4-FFF2-40B4-BE49-F238E27FC236}">
                <a16:creationId xmlns:a16="http://schemas.microsoft.com/office/drawing/2014/main" id="{3D0E6A99-34A8-4C1C-BD48-9054470B2CFB}"/>
              </a:ext>
            </a:extLst>
          </xdr:cNvPr>
          <xdr:cNvSpPr txBox="1"/>
        </xdr:nvSpPr>
        <xdr:spPr>
          <a:xfrm>
            <a:off x="12894470" y="1043099"/>
            <a:ext cx="2552750" cy="13576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mc:AlternateContent xmlns:mc="http://schemas.openxmlformats.org/markup-compatibility/2006" xmlns:a14="http://schemas.microsoft.com/office/drawing/2010/main">
        <mc:Choice Requires="a14">
          <xdr:graphicFrame macro="">
            <xdr:nvGraphicFramePr>
              <xdr:cNvPr id="19" name="Product">
                <a:extLst>
                  <a:ext uri="{FF2B5EF4-FFF2-40B4-BE49-F238E27FC236}">
                    <a16:creationId xmlns:a16="http://schemas.microsoft.com/office/drawing/2014/main" id="{CE1507ED-84F1-42BC-A648-A4DEFDCB529F}"/>
                  </a:ext>
                </a:extLst>
              </xdr:cNvPr>
              <xdr:cNvGraphicFramePr/>
            </xdr:nvGraphicFramePr>
            <xdr:xfrm>
              <a:off x="12894959" y="1459912"/>
              <a:ext cx="2549759" cy="94080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2423922" y="1129330"/>
                <a:ext cx="3261320" cy="6804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25" name="Rectangle 24">
            <a:extLst>
              <a:ext uri="{FF2B5EF4-FFF2-40B4-BE49-F238E27FC236}">
                <a16:creationId xmlns:a16="http://schemas.microsoft.com/office/drawing/2014/main" id="{D5BE2DC3-9ABC-4D8C-BF71-7549D13A4596}"/>
              </a:ext>
            </a:extLst>
          </xdr:cNvPr>
          <xdr:cNvSpPr/>
        </xdr:nvSpPr>
        <xdr:spPr>
          <a:xfrm>
            <a:off x="12890500" y="1039813"/>
            <a:ext cx="2559844" cy="416718"/>
          </a:xfrm>
          <a:prstGeom prst="rect">
            <a:avLst/>
          </a:prstGeom>
          <a:gradFill>
            <a:gsLst>
              <a:gs pos="100000">
                <a:schemeClr val="tx2">
                  <a:lumMod val="40000"/>
                  <a:lumOff val="60000"/>
                </a:schemeClr>
              </a:gs>
              <a:gs pos="0">
                <a:srgbClr val="0070C0"/>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800"/>
              <a:t>Products</a:t>
            </a:r>
          </a:p>
        </xdr:txBody>
      </xdr:sp>
    </xdr:grpSp>
    <xdr:clientData/>
  </xdr:twoCellAnchor>
  <xdr:twoCellAnchor>
    <xdr:from>
      <xdr:col>1</xdr:col>
      <xdr:colOff>35719</xdr:colOff>
      <xdr:row>10</xdr:row>
      <xdr:rowOff>59530</xdr:rowOff>
    </xdr:from>
    <xdr:to>
      <xdr:col>4</xdr:col>
      <xdr:colOff>523875</xdr:colOff>
      <xdr:row>14</xdr:row>
      <xdr:rowOff>11905</xdr:rowOff>
    </xdr:to>
    <xdr:sp macro="" textlink="'Pivot For Dashboard'!K2">
      <xdr:nvSpPr>
        <xdr:cNvPr id="27" name="Rectangle 26">
          <a:extLst>
            <a:ext uri="{FF2B5EF4-FFF2-40B4-BE49-F238E27FC236}">
              <a16:creationId xmlns:a16="http://schemas.microsoft.com/office/drawing/2014/main" id="{392B6829-FF3A-40B1-A8DE-9F5E63A31512}"/>
            </a:ext>
          </a:extLst>
        </xdr:cNvPr>
        <xdr:cNvSpPr/>
      </xdr:nvSpPr>
      <xdr:spPr>
        <a:xfrm>
          <a:off x="642938" y="1964530"/>
          <a:ext cx="2309812" cy="714375"/>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4F6196F8-334F-4E4D-86EF-B595AD1296EE}" type="TxLink">
            <a:rPr lang="en-US" sz="2000" b="0" i="0" u="none" strike="noStrike">
              <a:solidFill>
                <a:srgbClr val="000000"/>
              </a:solidFill>
              <a:latin typeface="Calibri"/>
              <a:cs typeface="Calibri"/>
            </a:rPr>
            <a:t>Total Sales ₹44952975</a:t>
          </a:fld>
          <a:endParaRPr lang="en-IN" sz="2000">
            <a:solidFill>
              <a:schemeClr val="tx1"/>
            </a:solidFill>
          </a:endParaRPr>
        </a:p>
      </xdr:txBody>
    </xdr:sp>
    <xdr:clientData/>
  </xdr:twoCellAnchor>
  <xdr:twoCellAnchor>
    <xdr:from>
      <xdr:col>1</xdr:col>
      <xdr:colOff>23811</xdr:colOff>
      <xdr:row>14</xdr:row>
      <xdr:rowOff>142876</xdr:rowOff>
    </xdr:from>
    <xdr:to>
      <xdr:col>9</xdr:col>
      <xdr:colOff>488156</xdr:colOff>
      <xdr:row>28</xdr:row>
      <xdr:rowOff>23812</xdr:rowOff>
    </xdr:to>
    <xdr:sp macro="" textlink="">
      <xdr:nvSpPr>
        <xdr:cNvPr id="33" name="Rectangle 32">
          <a:extLst>
            <a:ext uri="{FF2B5EF4-FFF2-40B4-BE49-F238E27FC236}">
              <a16:creationId xmlns:a16="http://schemas.microsoft.com/office/drawing/2014/main" id="{12AAB8EE-269B-4640-B7CB-03CF7B54818F}"/>
            </a:ext>
          </a:extLst>
        </xdr:cNvPr>
        <xdr:cNvSpPr/>
      </xdr:nvSpPr>
      <xdr:spPr>
        <a:xfrm>
          <a:off x="631030" y="2809876"/>
          <a:ext cx="5322095" cy="2547936"/>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583407</xdr:colOff>
      <xdr:row>14</xdr:row>
      <xdr:rowOff>128588</xdr:rowOff>
    </xdr:from>
    <xdr:to>
      <xdr:col>19</xdr:col>
      <xdr:colOff>440531</xdr:colOff>
      <xdr:row>28</xdr:row>
      <xdr:rowOff>35719</xdr:rowOff>
    </xdr:to>
    <xdr:sp macro="" textlink="">
      <xdr:nvSpPr>
        <xdr:cNvPr id="34" name="Rectangle 33">
          <a:extLst>
            <a:ext uri="{FF2B5EF4-FFF2-40B4-BE49-F238E27FC236}">
              <a16:creationId xmlns:a16="http://schemas.microsoft.com/office/drawing/2014/main" id="{6963FDFD-2A80-4C1C-AD39-9A96DD052942}"/>
            </a:ext>
          </a:extLst>
        </xdr:cNvPr>
        <xdr:cNvSpPr/>
      </xdr:nvSpPr>
      <xdr:spPr>
        <a:xfrm>
          <a:off x="6655595" y="2795588"/>
          <a:ext cx="5322092" cy="2574131"/>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571500</xdr:colOff>
      <xdr:row>10</xdr:row>
      <xdr:rowOff>47625</xdr:rowOff>
    </xdr:from>
    <xdr:to>
      <xdr:col>25</xdr:col>
      <xdr:colOff>452437</xdr:colOff>
      <xdr:row>14</xdr:row>
      <xdr:rowOff>0</xdr:rowOff>
    </xdr:to>
    <xdr:sp macro="" textlink="'Pivot For Dashboard'!K6">
      <xdr:nvSpPr>
        <xdr:cNvPr id="40" name="Rectangle 39">
          <a:extLst>
            <a:ext uri="{FF2B5EF4-FFF2-40B4-BE49-F238E27FC236}">
              <a16:creationId xmlns:a16="http://schemas.microsoft.com/office/drawing/2014/main" id="{8DBB7C0B-64BF-43AB-B760-9659A58BEA77}"/>
            </a:ext>
          </a:extLst>
        </xdr:cNvPr>
        <xdr:cNvSpPr/>
      </xdr:nvSpPr>
      <xdr:spPr>
        <a:xfrm>
          <a:off x="13323094" y="1952625"/>
          <a:ext cx="2309812" cy="714375"/>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7B8D5C0E-180A-4F88-AEC0-3332588CDAEE}" type="TxLink">
            <a:rPr lang="en-US" sz="2000" b="0" i="0" u="none" strike="noStrike">
              <a:solidFill>
                <a:srgbClr val="000000"/>
              </a:solidFill>
              <a:latin typeface="Calibri"/>
              <a:cs typeface="Calibri"/>
            </a:rPr>
            <a:pPr algn="ctr"/>
            <a:t>Unique Customers 16</a:t>
          </a:fld>
          <a:endParaRPr lang="en-US" sz="2000"/>
        </a:p>
      </xdr:txBody>
    </xdr:sp>
    <xdr:clientData/>
  </xdr:twoCellAnchor>
  <xdr:twoCellAnchor>
    <xdr:from>
      <xdr:col>10</xdr:col>
      <xdr:colOff>595312</xdr:colOff>
      <xdr:row>10</xdr:row>
      <xdr:rowOff>47624</xdr:rowOff>
    </xdr:from>
    <xdr:to>
      <xdr:col>14</xdr:col>
      <xdr:colOff>190499</xdr:colOff>
      <xdr:row>13</xdr:row>
      <xdr:rowOff>190499</xdr:rowOff>
    </xdr:to>
    <xdr:sp macro="" textlink="'Pivot For Dashboard'!K4">
      <xdr:nvSpPr>
        <xdr:cNvPr id="41" name="Rectangle 40">
          <a:extLst>
            <a:ext uri="{FF2B5EF4-FFF2-40B4-BE49-F238E27FC236}">
              <a16:creationId xmlns:a16="http://schemas.microsoft.com/office/drawing/2014/main" id="{FB5F01A8-F8EB-48B4-859D-BA8E4C77DC79}"/>
            </a:ext>
          </a:extLst>
        </xdr:cNvPr>
        <xdr:cNvSpPr/>
      </xdr:nvSpPr>
      <xdr:spPr>
        <a:xfrm>
          <a:off x="6667500" y="1952624"/>
          <a:ext cx="2024062" cy="714375"/>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79AEED8C-C344-4FD2-A60E-3445C0DE168F}" type="TxLink">
            <a:rPr lang="en-US" sz="2000" b="0" i="0" u="none" strike="noStrike">
              <a:solidFill>
                <a:srgbClr val="000000"/>
              </a:solidFill>
              <a:latin typeface="Calibri"/>
              <a:cs typeface="Calibri"/>
            </a:rPr>
            <a:pPr algn="ctr"/>
            <a:t>Total Quantity 3034</a:t>
          </a:fld>
          <a:endParaRPr lang="en-IN" sz="2000"/>
        </a:p>
      </xdr:txBody>
    </xdr:sp>
    <xdr:clientData/>
  </xdr:twoCellAnchor>
  <xdr:twoCellAnchor>
    <xdr:from>
      <xdr:col>6</xdr:col>
      <xdr:colOff>273842</xdr:colOff>
      <xdr:row>10</xdr:row>
      <xdr:rowOff>47625</xdr:rowOff>
    </xdr:from>
    <xdr:to>
      <xdr:col>9</xdr:col>
      <xdr:colOff>476249</xdr:colOff>
      <xdr:row>13</xdr:row>
      <xdr:rowOff>190499</xdr:rowOff>
    </xdr:to>
    <xdr:sp macro="" textlink="'Pivot For Dashboard'!K3">
      <xdr:nvSpPr>
        <xdr:cNvPr id="42" name="Rectangle 41">
          <a:extLst>
            <a:ext uri="{FF2B5EF4-FFF2-40B4-BE49-F238E27FC236}">
              <a16:creationId xmlns:a16="http://schemas.microsoft.com/office/drawing/2014/main" id="{04AF16BA-6113-470B-9A87-8B2190906C1B}"/>
            </a:ext>
          </a:extLst>
        </xdr:cNvPr>
        <xdr:cNvSpPr/>
      </xdr:nvSpPr>
      <xdr:spPr>
        <a:xfrm>
          <a:off x="3917155" y="1952625"/>
          <a:ext cx="2024063" cy="714374"/>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82680843-941D-45EE-9CD1-F2541B469B17}" type="TxLink">
            <a:rPr lang="en-US" sz="2000" b="0" i="0" u="none" strike="noStrike">
              <a:solidFill>
                <a:srgbClr val="000000"/>
              </a:solidFill>
              <a:latin typeface="Calibri"/>
              <a:cs typeface="Calibri"/>
            </a:rPr>
            <a:pPr algn="ctr"/>
            <a:t>Total Orders 1000</a:t>
          </a:fld>
          <a:endParaRPr lang="en-IN" sz="2000"/>
        </a:p>
      </xdr:txBody>
    </xdr:sp>
    <xdr:clientData/>
  </xdr:twoCellAnchor>
  <xdr:twoCellAnchor>
    <xdr:from>
      <xdr:col>16</xdr:col>
      <xdr:colOff>257174</xdr:colOff>
      <xdr:row>10</xdr:row>
      <xdr:rowOff>42862</xdr:rowOff>
    </xdr:from>
    <xdr:to>
      <xdr:col>19</xdr:col>
      <xdr:colOff>416719</xdr:colOff>
      <xdr:row>14</xdr:row>
      <xdr:rowOff>11907</xdr:rowOff>
    </xdr:to>
    <xdr:sp macro="" textlink="'Pivot For Dashboard'!K5">
      <xdr:nvSpPr>
        <xdr:cNvPr id="43" name="Rectangle 42">
          <a:extLst>
            <a:ext uri="{FF2B5EF4-FFF2-40B4-BE49-F238E27FC236}">
              <a16:creationId xmlns:a16="http://schemas.microsoft.com/office/drawing/2014/main" id="{CCBCC541-7058-4BE2-A2FD-76AE81989F85}"/>
            </a:ext>
          </a:extLst>
        </xdr:cNvPr>
        <xdr:cNvSpPr/>
      </xdr:nvSpPr>
      <xdr:spPr>
        <a:xfrm>
          <a:off x="9972674" y="1947862"/>
          <a:ext cx="1981201" cy="731045"/>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22BD8CF2-8180-4C6A-8F69-1B6B441B87A8}" type="TxLink">
            <a:rPr lang="en-US" sz="2000" b="0" i="0" u="none" strike="noStrike">
              <a:solidFill>
                <a:srgbClr val="000000"/>
              </a:solidFill>
              <a:latin typeface="Calibri"/>
              <a:cs typeface="Calibri"/>
            </a:rPr>
            <a:pPr algn="ctr"/>
            <a:t>Average Discount 7.72%</a:t>
          </a:fld>
          <a:endParaRPr lang="en-IN" sz="2000"/>
        </a:p>
      </xdr:txBody>
    </xdr:sp>
    <xdr:clientData/>
  </xdr:twoCellAnchor>
  <xdr:twoCellAnchor>
    <xdr:from>
      <xdr:col>1</xdr:col>
      <xdr:colOff>11903</xdr:colOff>
      <xdr:row>14</xdr:row>
      <xdr:rowOff>130968</xdr:rowOff>
    </xdr:from>
    <xdr:to>
      <xdr:col>9</xdr:col>
      <xdr:colOff>488156</xdr:colOff>
      <xdr:row>28</xdr:row>
      <xdr:rowOff>23812</xdr:rowOff>
    </xdr:to>
    <xdr:graphicFrame macro="">
      <xdr:nvGraphicFramePr>
        <xdr:cNvPr id="30" name="Chart 29">
          <a:extLst>
            <a:ext uri="{FF2B5EF4-FFF2-40B4-BE49-F238E27FC236}">
              <a16:creationId xmlns:a16="http://schemas.microsoft.com/office/drawing/2014/main" id="{DE43E1BA-07AF-4755-B04C-D162D9A3A6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571499</xdr:colOff>
      <xdr:row>14</xdr:row>
      <xdr:rowOff>116683</xdr:rowOff>
    </xdr:from>
    <xdr:to>
      <xdr:col>19</xdr:col>
      <xdr:colOff>440530</xdr:colOff>
      <xdr:row>28</xdr:row>
      <xdr:rowOff>35719</xdr:rowOff>
    </xdr:to>
    <xdr:graphicFrame macro="">
      <xdr:nvGraphicFramePr>
        <xdr:cNvPr id="35" name="Chart 34">
          <a:extLst>
            <a:ext uri="{FF2B5EF4-FFF2-40B4-BE49-F238E27FC236}">
              <a16:creationId xmlns:a16="http://schemas.microsoft.com/office/drawing/2014/main" id="{A2437DD1-9C63-48D1-A626-688DC61A13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523875</xdr:colOff>
      <xdr:row>14</xdr:row>
      <xdr:rowOff>128586</xdr:rowOff>
    </xdr:from>
    <xdr:to>
      <xdr:col>25</xdr:col>
      <xdr:colOff>500063</xdr:colOff>
      <xdr:row>28</xdr:row>
      <xdr:rowOff>35720</xdr:rowOff>
    </xdr:to>
    <xdr:sp macro="" textlink="">
      <xdr:nvSpPr>
        <xdr:cNvPr id="36" name="Rectangle 35">
          <a:extLst>
            <a:ext uri="{FF2B5EF4-FFF2-40B4-BE49-F238E27FC236}">
              <a16:creationId xmlns:a16="http://schemas.microsoft.com/office/drawing/2014/main" id="{B0752AE7-4895-4097-956E-EFB455776D5B}"/>
            </a:ext>
          </a:extLst>
        </xdr:cNvPr>
        <xdr:cNvSpPr/>
      </xdr:nvSpPr>
      <xdr:spPr>
        <a:xfrm>
          <a:off x="12668250" y="2795586"/>
          <a:ext cx="3012282" cy="2574134"/>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511969</xdr:colOff>
      <xdr:row>14</xdr:row>
      <xdr:rowOff>108857</xdr:rowOff>
    </xdr:from>
    <xdr:to>
      <xdr:col>25</xdr:col>
      <xdr:colOff>500062</xdr:colOff>
      <xdr:row>28</xdr:row>
      <xdr:rowOff>35719</xdr:rowOff>
    </xdr:to>
    <xdr:graphicFrame macro="">
      <xdr:nvGraphicFramePr>
        <xdr:cNvPr id="44" name="Chart 43">
          <a:extLst>
            <a:ext uri="{FF2B5EF4-FFF2-40B4-BE49-F238E27FC236}">
              <a16:creationId xmlns:a16="http://schemas.microsoft.com/office/drawing/2014/main" id="{B7C0956B-8505-4CAC-A252-ADA6D68128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AHAMAD/Desktop/ecommerce_sales_dataset.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AMAD" refreshedDate="46094.671102777778" createdVersion="3" refreshedVersion="3" minRefreshableVersion="3" recordCount="1000" xr:uid="{00000000-000A-0000-FFFF-FFFF00000000}">
  <cacheSource type="worksheet">
    <worksheetSource ref="A1:J1001" sheet="Dateset"/>
  </cacheSource>
  <cacheFields count="10">
    <cacheField name="OrderID" numFmtId="0">
      <sharedItems containsSemiMixedTypes="0" containsString="0" containsNumber="1" containsInteger="1" minValue="1001" maxValue="2000" count="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sharedItems>
    </cacheField>
    <cacheField name="OrderDate" numFmtId="0">
      <sharedItems count="347">
        <s v="05-05-2024"/>
        <s v="29-10-2024"/>
        <s v="29-04-2024"/>
        <s v="28-10-2024"/>
        <s v="22-05-2024"/>
        <s v="13-07-2024"/>
        <s v="23-01-2024"/>
        <s v="17-11-2024"/>
        <s v="28-05-2024"/>
        <s v="20-08-2024"/>
        <s v="09-12-2024"/>
        <s v="24-03-2024"/>
        <s v="16-12-2024"/>
        <s v="24-07-2024"/>
        <s v="18-04-2024"/>
        <s v="12-03-2024"/>
        <s v="04-07-2024"/>
        <s v="26-02-2024"/>
        <s v="16-07-2024"/>
        <s v="14-12-2024"/>
        <s v="10-08-2024"/>
        <s v="16-09-2024"/>
        <s v="23-03-2024"/>
        <s v="13-02-2024"/>
        <s v="08-10-2024"/>
        <s v="08-06-2024"/>
        <s v="02-03-2024"/>
        <s v="27-04-2024"/>
        <s v="04-05-2024"/>
        <s v="03-12-2024"/>
        <s v="28-01-2024"/>
        <s v="07-05-2024"/>
        <s v="03-04-2024"/>
        <s v="26-03-2024"/>
        <s v="31-01-2024"/>
        <s v="31-05-2024"/>
        <s v="26-01-2024"/>
        <s v="05-04-2024"/>
        <s v="18-10-2024"/>
        <s v="13-05-2024"/>
        <s v="08-03-2024"/>
        <s v="22-08-2024"/>
        <s v="21-03-2024"/>
        <s v="05-12-2024"/>
        <s v="10-10-2024"/>
        <s v="24-06-2024"/>
        <s v="17-02-2024"/>
        <s v="07-03-2024"/>
        <s v="14-10-2024"/>
        <s v="08-07-2024"/>
        <s v="05-07-2024"/>
        <s v="30-06-2024"/>
        <s v="30-07-2024"/>
        <s v="16-05-2024"/>
        <s v="23-04-2024"/>
        <s v="24-04-2024"/>
        <s v="05-02-2024"/>
        <s v="15-01-2024"/>
        <s v="20-01-2024"/>
        <s v="06-11-2024"/>
        <s v="28-12-2024"/>
        <s v="07-12-2024"/>
        <s v="08-04-2024"/>
        <s v="26-07-2024"/>
        <s v="23-10-2024"/>
        <s v="18-09-2024"/>
        <s v="13-01-2024"/>
        <s v="21-08-2024"/>
        <s v="31-03-2024"/>
        <s v="09-03-2024"/>
        <s v="07-10-2024"/>
        <s v="06-05-2024"/>
        <s v="09-02-2024"/>
        <s v="03-10-2024"/>
        <s v="21-12-2024"/>
        <s v="18-06-2024"/>
        <s v="18-07-2024"/>
        <s v="01-06-2024"/>
        <s v="19-05-2024"/>
        <s v="08-12-2024"/>
        <s v="20-07-2024"/>
        <s v="09-05-2024"/>
        <s v="28-06-2024"/>
        <s v="12-04-2024"/>
        <s v="22-02-2024"/>
        <s v="04-12-2024"/>
        <s v="07-09-2024"/>
        <s v="30-10-2024"/>
        <s v="18-08-2024"/>
        <s v="10-09-2024"/>
        <s v="12-05-2024"/>
        <s v="21-09-2024"/>
        <s v="11-10-2024"/>
        <s v="29-06-2024"/>
        <s v="21-02-2024"/>
        <s v="03-06-2024"/>
        <s v="20-10-2024"/>
        <s v="04-04-2024"/>
        <s v="15-10-2024"/>
        <s v="16-04-2024"/>
        <s v="29-03-2024"/>
        <s v="18-12-2024"/>
        <s v="27-12-2024"/>
        <s v="16-11-2024"/>
        <s v="27-11-2024"/>
        <s v="25-03-2024"/>
        <s v="12-08-2024"/>
        <s v="14-01-2024"/>
        <s v="30-03-2024"/>
        <s v="21-11-2024"/>
        <s v="19-06-2024"/>
        <s v="25-07-2024"/>
        <s v="22-09-2024"/>
        <s v="09-10-2024"/>
        <s v="01-03-2024"/>
        <s v="31-07-2024"/>
        <s v="15-07-2024"/>
        <s v="23-06-2024"/>
        <s v="17-03-2024"/>
        <s v="28-07-2024"/>
        <s v="15-11-2024"/>
        <s v="11-06-2024"/>
        <s v="26-04-2024"/>
        <s v="30-05-2024"/>
        <s v="28-09-2024"/>
        <s v="08-11-2024"/>
        <s v="28-04-2024"/>
        <s v="26-08-2024"/>
        <s v="27-10-2024"/>
        <s v="11-04-2024"/>
        <s v="19-10-2024"/>
        <s v="20-05-2024"/>
        <s v="13-12-2024"/>
        <s v="18-01-2024"/>
        <s v="22-06-2024"/>
        <s v="12-12-2024"/>
        <s v="15-05-2024"/>
        <s v="22-11-2024"/>
        <s v="13-11-2024"/>
        <s v="28-11-2024"/>
        <s v="04-06-2024"/>
        <s v="17-07-2024"/>
        <s v="19-12-2024"/>
        <s v="21-05-2024"/>
        <s v="24-11-2024"/>
        <s v="16-10-2024"/>
        <s v="08-01-2024"/>
        <s v="02-02-2024"/>
        <s v="19-08-2024"/>
        <s v="01-02-2024"/>
        <s v="30-12-2024"/>
        <s v="03-02-2024"/>
        <s v="08-08-2024"/>
        <s v="23-07-2024"/>
        <s v="06-12-2024"/>
        <s v="16-02-2024"/>
        <s v="25-02-2024"/>
        <s v="07-08-2024"/>
        <s v="25-12-2024"/>
        <s v="14-03-2024"/>
        <s v="27-01-2024"/>
        <s v="14-08-2024"/>
        <s v="20-04-2024"/>
        <s v="02-11-2024"/>
        <s v="11-03-2024"/>
        <s v="11-09-2024"/>
        <s v="13-09-2024"/>
        <s v="10-01-2024"/>
        <s v="11-01-2024"/>
        <s v="11-08-2024"/>
        <s v="25-09-2024"/>
        <s v="27-06-2024"/>
        <s v="11-05-2024"/>
        <s v="07-06-2024"/>
        <s v="26-05-2024"/>
        <s v="21-01-2024"/>
        <s v="12-10-2024"/>
        <s v="25-04-2024"/>
        <s v="19-03-2024"/>
        <s v="29-07-2024"/>
        <s v="17-08-2024"/>
        <s v="07-07-2024"/>
        <s v="09-07-2024"/>
        <s v="14-09-2024"/>
        <s v="03-03-2024"/>
        <s v="03-05-2024"/>
        <s v="04-02-2024"/>
        <s v="10-07-2024"/>
        <s v="06-10-2024"/>
        <s v="10-03-2024"/>
        <s v="05-10-2024"/>
        <s v="01-07-2024"/>
        <s v="10-02-2024"/>
        <s v="10-11-2024"/>
        <s v="15-08-2024"/>
        <s v="12-09-2024"/>
        <s v="19-04-2024"/>
        <s v="07-02-2024"/>
        <s v="27-08-2024"/>
        <s v="02-09-2024"/>
        <s v="06-03-2024"/>
        <s v="04-03-2024"/>
        <s v="29-12-2024"/>
        <s v="10-04-2024"/>
        <s v="29-11-2024"/>
        <s v="04-09-2024"/>
        <s v="09-06-2024"/>
        <s v="20-09-2024"/>
        <s v="22-10-2024"/>
        <s v="15-09-2024"/>
        <s v="25-01-2024"/>
        <s v="06-07-2024"/>
        <s v="04-11-2024"/>
        <s v="16-06-2024"/>
        <s v="17-01-2024"/>
        <s v="02-08-2024"/>
        <s v="27-05-2024"/>
        <s v="01-12-2024"/>
        <s v="30-09-2024"/>
        <s v="22-07-2024"/>
        <s v="14-02-2024"/>
        <s v="14-06-2024"/>
        <s v="16-08-2024"/>
        <s v="06-06-2024"/>
        <s v="29-02-2024"/>
        <s v="29-01-2024"/>
        <s v="13-10-2024"/>
        <s v="02-01-2024"/>
        <s v="24-12-2024"/>
        <s v="14-07-2024"/>
        <s v="30-11-2024"/>
        <s v="27-09-2024"/>
        <s v="25-08-2024"/>
        <s v="26-06-2024"/>
        <s v="01-05-2024"/>
        <s v="10-05-2024"/>
        <s v="24-05-2024"/>
        <s v="03-07-2024"/>
        <s v="14-04-2024"/>
        <s v="15-03-2024"/>
        <s v="27-03-2024"/>
        <s v="21-04-2024"/>
        <s v="07-01-2024"/>
        <s v="01-04-2024"/>
        <s v="12-07-2024"/>
        <s v="20-11-2024"/>
        <s v="24-02-2024"/>
        <s v="18-05-2024"/>
        <s v="17-05-2024"/>
        <s v="08-05-2024"/>
        <s v="17-06-2024"/>
        <s v="02-06-2024"/>
        <s v="15-06-2024"/>
        <s v="20-02-2024"/>
        <s v="19-07-2024"/>
        <s v="23-02-2024"/>
        <s v="26-12-2024"/>
        <s v="01-10-2024"/>
        <s v="28-02-2024"/>
        <s v="12-11-2024"/>
        <s v="21-10-2024"/>
        <s v="10-06-2024"/>
        <s v="22-04-2024"/>
        <s v="05-08-2024"/>
        <s v="14-05-2024"/>
        <s v="17-04-2024"/>
        <s v="15-04-2024"/>
        <s v="01-11-2024"/>
        <s v="24-10-2024"/>
        <s v="22-03-2024"/>
        <s v="22-12-2024"/>
        <s v="06-02-2024"/>
        <s v="13-08-2024"/>
        <s v="26-11-2024"/>
        <s v="09-01-2024"/>
        <s v="12-02-2024"/>
        <s v="01-08-2024"/>
        <s v="23-09-2024"/>
        <s v="08-02-2024"/>
        <s v="21-07-2024"/>
        <s v="15-12-2024"/>
        <s v="02-04-2024"/>
        <s v="30-01-2024"/>
        <s v="23-12-2024"/>
        <s v="16-03-2024"/>
        <s v="17-10-2024"/>
        <s v="23-11-2024"/>
        <s v="12-06-2024"/>
        <s v="11-07-2024"/>
        <s v="11-02-2024"/>
        <s v="18-03-2024"/>
        <s v="27-02-2024"/>
        <s v="13-06-2024"/>
        <s v="25-06-2024"/>
        <s v="21-06-2024"/>
        <s v="06-04-2024"/>
        <s v="28-03-2024"/>
        <s v="26-10-2024"/>
        <s v="19-11-2024"/>
        <s v="31-10-2024"/>
        <s v="30-08-2024"/>
        <s v="05-01-2024"/>
        <s v="14-11-2024"/>
        <s v="03-09-2024"/>
        <s v="06-01-2024"/>
        <s v="08-09-2024"/>
        <s v="23-08-2024"/>
        <s v="17-09-2024"/>
        <s v="09-09-2024"/>
        <s v="17-12-2024"/>
        <s v="11-12-2024"/>
        <s v="20-12-2024"/>
        <s v="26-09-2024"/>
        <s v="10-12-2024"/>
        <s v="02-10-2024"/>
        <s v="09-04-2024"/>
        <s v="03-11-2024"/>
        <s v="03-01-2024"/>
        <s v="06-08-2024"/>
        <s v="09-11-2024"/>
        <s v="19-09-2024"/>
        <s v="13-04-2024"/>
        <s v="06-09-2024"/>
        <s v="18-11-2024"/>
        <s v="05-03-2024"/>
        <s v="15-02-2024"/>
        <s v="20-03-2024"/>
        <s v="04-01-2024"/>
        <s v="25-05-2024"/>
        <s v="02-07-2024"/>
        <s v="07-04-2024"/>
        <s v="05-09-2024"/>
        <s v="02-12-2024"/>
        <s v="11-11-2024"/>
        <s v="18-02-2024"/>
        <s v="05-06-2024"/>
        <s v="29-08-2024"/>
        <s v="25-10-2024"/>
        <s v="24-08-2024"/>
        <s v="20-06-2024"/>
        <s v="07-11-2024"/>
        <s v="19-01-2024"/>
        <s v="24-01-2024"/>
        <s v="28-08-2024"/>
        <s v="16-01-2024"/>
        <s v="19-02-2024"/>
        <s v="01-09-2024"/>
      </sharedItems>
    </cacheField>
    <cacheField name="CustomerName" numFmtId="0">
      <sharedItems count="16">
        <s v="Sanjay"/>
        <s v="Kavya"/>
        <s v="Ravi"/>
        <s v="Pooja"/>
        <s v="Karan"/>
        <s v="Priya"/>
        <s v="Manish"/>
        <s v="Sneha"/>
        <s v="Neha"/>
        <s v="Rahul"/>
        <s v="Simran"/>
        <s v="Arjun"/>
        <s v="Rohit"/>
        <s v="Vikas"/>
        <s v="Anjali"/>
        <s v="Aman"/>
      </sharedItems>
    </cacheField>
    <cacheField name="City" numFmtId="0">
      <sharedItems count="8">
        <s v="Bangalore"/>
        <s v="Delhi"/>
        <s v="Lucknow"/>
        <s v="Pune"/>
        <s v="Mumbai"/>
        <s v="Chennai"/>
        <s v="Jaipur"/>
        <s v="Hyderabad"/>
      </sharedItems>
    </cacheField>
    <cacheField name="Product" numFmtId="0">
      <sharedItems count="8">
        <s v="Phone"/>
        <s v="Laptop"/>
        <s v="Keyboard"/>
        <s v="Tablet"/>
        <s v="Headphones"/>
        <s v="Table"/>
        <s v="Chair"/>
        <s v="Monitor"/>
      </sharedItems>
    </cacheField>
    <cacheField name="Category" numFmtId="0">
      <sharedItems count="3">
        <s v="Electronics"/>
        <s v="Accessories"/>
        <s v="Furniture"/>
      </sharedItems>
    </cacheField>
    <cacheField name="Quantity" numFmtId="0">
      <sharedItems containsSemiMixedTypes="0" containsString="0" containsNumber="1" containsInteger="1" minValue="1" maxValue="5" count="5">
        <n v="1"/>
        <n v="5"/>
        <n v="2"/>
        <n v="4"/>
        <n v="3"/>
      </sharedItems>
    </cacheField>
    <cacheField name="Price" numFmtId="0">
      <sharedItems containsSemiMixedTypes="0" containsString="0" containsNumber="1" containsInteger="1" minValue="1500" maxValue="50000"/>
    </cacheField>
    <cacheField name="Discount" numFmtId="0">
      <sharedItems containsSemiMixedTypes="0" containsString="0" containsNumber="1" minValue="0" maxValue="0.15"/>
    </cacheField>
    <cacheField name="Sales" numFmtId="1">
      <sharedItems containsSemiMixedTypes="0" containsString="0" containsNumber="1" containsInteger="1" minValue="1275" maxValue="25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Q" refreshedDate="46094.66606909722" createdVersion="8" refreshedVersion="3" minRefreshableVersion="3" recordCount="1000" xr:uid="{00000000-000A-0000-FFFF-FFFF01000000}">
  <cacheSource type="worksheet">
    <worksheetSource name="Table2" r:id="rId2"/>
  </cacheSource>
  <cacheFields count="11">
    <cacheField name="OrderID" numFmtId="0">
      <sharedItems containsSemiMixedTypes="0" containsString="0" containsNumber="1" containsInteger="1" minValue="1001" maxValue="2000"/>
    </cacheField>
    <cacheField name="OrderDate" numFmtId="14">
      <sharedItems/>
    </cacheField>
    <cacheField name="CustomerName" numFmtId="0">
      <sharedItems count="16">
        <s v="Sanjay"/>
        <s v="Kavya"/>
        <s v="Ravi"/>
        <s v="Pooja"/>
        <s v="Karan"/>
        <s v="Priya"/>
        <s v="Manish"/>
        <s v="Sneha"/>
        <s v="Neha"/>
        <s v="Rahul"/>
        <s v="Simran"/>
        <s v="Arjun"/>
        <s v="Rohit"/>
        <s v="Vikas"/>
        <s v="Anjali"/>
        <s v="Aman"/>
      </sharedItems>
    </cacheField>
    <cacheField name="City" numFmtId="0">
      <sharedItems count="8">
        <s v="Bangalore"/>
        <s v="Delhi"/>
        <s v="Lucknow"/>
        <s v="Pune"/>
        <s v="Mumbai"/>
        <s v="Chennai"/>
        <s v="Jaipur"/>
        <s v="Hyderabad"/>
      </sharedItems>
    </cacheField>
    <cacheField name="Product" numFmtId="0">
      <sharedItems count="8">
        <s v="Phone"/>
        <s v="Laptop"/>
        <s v="Keyboard"/>
        <s v="Tablet"/>
        <s v="Headphones"/>
        <s v="Table"/>
        <s v="Chair"/>
        <s v="Monitor"/>
      </sharedItems>
    </cacheField>
    <cacheField name="Category" numFmtId="0">
      <sharedItems count="3">
        <s v="Electronics"/>
        <s v="Accessories"/>
        <s v="Furniture"/>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1500" maxValue="50000"/>
    </cacheField>
    <cacheField name="Discount" numFmtId="0">
      <sharedItems containsSemiMixedTypes="0" containsString="0" containsNumber="1" minValue="0" maxValue="0.15"/>
    </cacheField>
    <cacheField name="Sales" numFmtId="1">
      <sharedItems containsSemiMixedTypes="0" containsString="0" containsNumber="1" containsInteger="1" minValue="1275" maxValue="250000"/>
    </cacheField>
    <cacheField name="Month" numFmtId="0">
      <sharedItems count="12">
        <s v="May"/>
        <s v="October"/>
        <s v="April"/>
        <s v="July"/>
        <s v="January"/>
        <s v="November"/>
        <s v="August"/>
        <s v="December"/>
        <s v="March"/>
        <s v="February"/>
        <s v="September"/>
        <s v="June"/>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 R" refreshedDate="46165.084189236113" createdVersion="6" refreshedVersion="6" minRefreshableVersion="3" recordCount="1000" xr:uid="{795B62DF-F151-4388-BDA4-61B4938969E0}">
  <cacheSource type="worksheet">
    <worksheetSource name="Table4"/>
  </cacheSource>
  <cacheFields count="11">
    <cacheField name="OrderID" numFmtId="0">
      <sharedItems containsSemiMixedTypes="0" containsString="0" containsNumber="1" containsInteger="1" minValue="1001" maxValue="2000"/>
    </cacheField>
    <cacheField name="OrderDate" numFmtId="0">
      <sharedItems count="347">
        <s v="05-05-2024"/>
        <s v="05-04-2024"/>
        <s v="29-04-2024"/>
        <s v="28-10-2024"/>
        <s v="22-05-2024"/>
        <s v="13-07-2024"/>
        <s v="28-06-2024"/>
        <s v="17-11-2024"/>
        <s v="28-05-2024"/>
        <s v="20-08-2024"/>
        <s v="09-12-2024"/>
        <s v="16-04-2024"/>
        <s v="18-08-2024"/>
        <s v="24-07-2024"/>
        <s v="13-01-2024"/>
        <s v="12-03-2024"/>
        <s v="15-04-2024"/>
        <s v="26-02-2024"/>
        <s v="30-01-2024"/>
        <s v="14-03-2024"/>
        <s v="10-08-2024"/>
        <s v="16-09-2024"/>
        <s v="23-03-2024"/>
        <s v="04-07-2024"/>
        <s v="13-02-2024"/>
        <s v="08-10-2024"/>
        <s v="08-06-2024"/>
        <s v="13-08-2024"/>
        <s v="27-04-2024"/>
        <s v="29-01-2024"/>
        <s v="03-12-2024"/>
        <s v="28-01-2024"/>
        <s v="07-05-2024"/>
        <s v="03-04-2024"/>
        <s v="26-03-2024"/>
        <s v="31-01-2024"/>
        <s v="31-05-2024"/>
        <s v="26-01-2024"/>
        <s v="25-06-2024"/>
        <s v="18-10-2024"/>
        <s v="13-05-2024"/>
        <s v="08-03-2024"/>
        <s v="22-08-2024"/>
        <s v="07-09-2024"/>
        <s v="21-03-2024"/>
        <s v="05-12-2024"/>
        <s v="10-10-2024"/>
        <s v="03-05-2024"/>
        <s v="17-02-2024"/>
        <s v="07-03-2024"/>
        <s v="14-10-2024"/>
        <s v="08-07-2024"/>
        <s v="05-07-2024"/>
        <s v="30-06-2024"/>
        <s v="30-07-2024"/>
        <s v="16-05-2024"/>
        <s v="23-04-2024"/>
        <s v="24-04-2024"/>
        <s v="05-02-2024"/>
        <s v="20-09-2024"/>
        <s v="20-07-2024"/>
        <s v="06-11-2024"/>
        <s v="28-12-2024"/>
        <s v="07-12-2024"/>
        <s v="08-04-2024"/>
        <s v="25-04-2024"/>
        <s v="23-10-2024"/>
        <s v="18-09-2024"/>
        <s v="04-05-2024"/>
        <s v="31-03-2024"/>
        <s v="09-03-2024"/>
        <s v="07-01-2024"/>
        <s v="06-05-2024"/>
        <s v="09-02-2024"/>
        <s v="03-10-2024"/>
        <s v="21-12-2024"/>
        <s v="18-06-2024"/>
        <s v="18-07-2024"/>
        <s v="01-06-2024"/>
        <s v="19-05-2024"/>
        <s v="08-12-2024"/>
        <s v="09-05-2024"/>
        <s v="23-11-2024"/>
        <s v="12-04-2024"/>
        <s v="22-02-2024"/>
        <s v="04-12-2024"/>
        <s v="30-10-2024"/>
        <s v="10-09-2024"/>
        <s v="12-05-2024"/>
        <s v="11-10-2024"/>
        <s v="29-06-2024"/>
        <s v="02-03-2024"/>
        <s v="03-06-2024"/>
        <s v="20-10-2024"/>
        <s v="04-04-2024"/>
        <s v="15-10-2024"/>
        <s v="26-11-2024"/>
        <s v="29-03-2024"/>
        <s v="18-12-2024"/>
        <s v="27-12-2024"/>
        <s v="16-11-2024"/>
        <s v="02-12-2024"/>
        <s v="25-03-2024"/>
        <s v="14-05-2024"/>
        <s v="14-01-2024"/>
        <s v="30-03-2024"/>
        <s v="21-11-2024"/>
        <s v="19-06-2024"/>
        <s v="26-12-2024"/>
        <s v="25-07-2024"/>
        <s v="22-09-2024"/>
        <s v="15-01-2024"/>
        <s v="01-09-2024"/>
        <s v="01-03-2024"/>
        <s v="15-07-2024"/>
        <s v="23-06-2024"/>
        <s v="17-03-2024"/>
        <s v="21-08-2024"/>
        <s v="24-02-2024"/>
        <s v="16-07-2024"/>
        <s v="21-02-2024"/>
        <s v="28-07-2024"/>
        <s v="15-11-2024"/>
        <s v="26-04-2024"/>
        <s v="30-05-2024"/>
        <s v="28-09-2024"/>
        <s v="08-11-2024"/>
        <s v="06-01-2024"/>
        <s v="26-08-2024"/>
        <s v="27-10-2024"/>
        <s v="11-04-2024"/>
        <s v="19-10-2024"/>
        <s v="20-05-2024"/>
        <s v="12-07-2024"/>
        <s v="18-01-2024"/>
        <s v="31-07-2024"/>
        <s v="22-06-2024"/>
        <s v="12-12-2024"/>
        <s v="15-05-2024"/>
        <s v="22-11-2024"/>
        <s v="13-11-2024"/>
        <s v="28-11-2024"/>
        <s v="04-06-2024"/>
        <s v="17-07-2024"/>
        <s v="19-12-2024"/>
        <s v="21-05-2024"/>
        <s v="24-11-2024"/>
        <s v="16-10-2024"/>
        <s v="24-03-2024"/>
        <s v="08-01-2024"/>
        <s v="16-06-2024"/>
        <s v="01-02-2024"/>
        <s v="30-12-2024"/>
        <s v="03-02-2024"/>
        <s v="06-03-2024"/>
        <s v="23-07-2024"/>
        <s v="06-12-2024"/>
        <s v="16-02-2024"/>
        <s v="10-03-2024"/>
        <s v="25-02-2024"/>
        <s v="07-08-2024"/>
        <s v="25-12-2024"/>
        <s v="21-10-2024"/>
        <s v="14-08-2024"/>
        <s v="20-04-2024"/>
        <s v="13-12-2024"/>
        <s v="02-11-2024"/>
        <s v="11-03-2024"/>
        <s v="11-09-2024"/>
        <s v="13-09-2024"/>
        <s v="10-01-2024"/>
        <s v="20-01-2024"/>
        <s v="11-01-2024"/>
        <s v="11-08-2024"/>
        <s v="26-07-2024"/>
        <s v="11-05-2024"/>
        <s v="07-06-2024"/>
        <s v="26-05-2024"/>
        <s v="21-01-2024"/>
        <s v="12-06-2024"/>
        <s v="12-10-2024"/>
        <s v="29-12-2024"/>
        <s v="10-06-2024"/>
        <s v="29-07-2024"/>
        <s v="01-05-2024"/>
        <s v="07-07-2024"/>
        <s v="09-07-2024"/>
        <s v="14-09-2024"/>
        <s v="17-08-2024"/>
        <s v="03-03-2024"/>
        <s v="06-09-2024"/>
        <s v="19-03-2024"/>
        <s v="10-07-2024"/>
        <s v="06-10-2024"/>
        <s v="23-01-2024"/>
        <s v="05-10-2024"/>
        <s v="01-07-2024"/>
        <s v="10-02-2024"/>
        <s v="10-11-2024"/>
        <s v="15-08-2024"/>
        <s v="12-09-2024"/>
        <s v="19-04-2024"/>
        <s v="07-02-2024"/>
        <s v="27-08-2024"/>
        <s v="02-09-2024"/>
        <s v="27-09-2024"/>
        <s v="10-04-2024"/>
        <s v="29-11-2024"/>
        <s v="04-09-2024"/>
        <s v="22-10-2024"/>
        <s v="15-09-2024"/>
        <s v="19-11-2024"/>
        <s v="06-07-2024"/>
        <s v="04-11-2024"/>
        <s v="21-04-2024"/>
        <s v="29-10-2024"/>
        <s v="17-01-2024"/>
        <s v="02-08-2024"/>
        <s v="09-06-2024"/>
        <s v="27-05-2024"/>
        <s v="01-12-2024"/>
        <s v="17-05-2024"/>
        <s v="30-09-2024"/>
        <s v="22-07-2024"/>
        <s v="14-02-2024"/>
        <s v="14-06-2024"/>
        <s v="16-08-2024"/>
        <s v="06-06-2024"/>
        <s v="29-02-2024"/>
        <s v="24-12-2024"/>
        <s v="13-10-2024"/>
        <s v="02-01-2024"/>
        <s v="14-07-2024"/>
        <s v="30-11-2024"/>
        <s v="25-08-2024"/>
        <s v="26-06-2024"/>
        <s v="10-05-2024"/>
        <s v="03-07-2024"/>
        <s v="14-04-2024"/>
        <s v="15-03-2024"/>
        <s v="27-11-2024"/>
        <s v="27-03-2024"/>
        <s v="08-08-2024"/>
        <s v="27-06-2024"/>
        <s v="01-04-2024"/>
        <s v="16-12-2024"/>
        <s v="28-04-2024"/>
        <s v="20-11-2024"/>
        <s v="18-05-2024"/>
        <s v="04-02-2024"/>
        <s v="08-05-2024"/>
        <s v="17-06-2024"/>
        <s v="08-02-2024"/>
        <s v="12-08-2024"/>
        <s v="30-08-2024"/>
        <s v="17-09-2024"/>
        <s v="11-07-2024"/>
        <s v="20-02-2024"/>
        <s v="19-07-2024"/>
        <s v="23-02-2024"/>
        <s v="01-10-2024"/>
        <s v="28-02-2024"/>
        <s v="12-11-2024"/>
        <s v="22-04-2024"/>
        <s v="07-04-2024"/>
        <s v="17-04-2024"/>
        <s v="15-06-2024"/>
        <s v="24-10-2024"/>
        <s v="03-09-2024"/>
        <s v="22-03-2024"/>
        <s v="22-12-2024"/>
        <s v="06-02-2024"/>
        <s v="09-01-2024"/>
        <s v="12-02-2024"/>
        <s v="07-11-2024"/>
        <s v="01-08-2024"/>
        <s v="23-09-2024"/>
        <s v="21-07-2024"/>
        <s v="15-12-2024"/>
        <s v="02-04-2024"/>
        <s v="05-08-2024"/>
        <s v="16-03-2024"/>
        <s v="17-10-2024"/>
        <s v="11-02-2024"/>
        <s v="18-03-2024"/>
        <s v="19-01-2024"/>
        <s v="27-02-2024"/>
        <s v="13-06-2024"/>
        <s v="18-04-2024"/>
        <s v="07-10-2024"/>
        <s v="21-06-2024"/>
        <s v="06-04-2024"/>
        <s v="11-12-2024"/>
        <s v="24-06-2024"/>
        <s v="26-10-2024"/>
        <s v="14-12-2024"/>
        <s v="04-03-2024"/>
        <s v="31-10-2024"/>
        <s v="21-09-2024"/>
        <s v="09-10-2024"/>
        <s v="05-01-2024"/>
        <s v="14-11-2024"/>
        <s v="08-09-2024"/>
        <s v="23-08-2024"/>
        <s v="09-09-2024"/>
        <s v="19-08-2024"/>
        <s v="17-12-2024"/>
        <s v="27-01-2024"/>
        <s v="04-01-2024"/>
        <s v="26-09-2024"/>
        <s v="10-12-2024"/>
        <s v="02-10-2024"/>
        <s v="09-04-2024"/>
        <s v="02-02-2024"/>
        <s v="03-11-2024"/>
        <s v="03-01-2024"/>
        <s v="06-08-2024"/>
        <s v="19-09-2024"/>
        <s v="13-04-2024"/>
        <s v="25-01-2024"/>
        <s v="18-11-2024"/>
        <s v="11-06-2024"/>
        <s v="05-03-2024"/>
        <s v="24-05-2024"/>
        <s v="15-02-2024"/>
        <s v="20-03-2024"/>
        <s v="23-12-2024"/>
        <s v="02-06-2024"/>
        <s v="20-12-2024"/>
        <s v="25-05-2024"/>
        <s v="02-07-2024"/>
        <s v="05-09-2024"/>
        <s v="11-11-2024"/>
        <s v="05-06-2024"/>
        <s v="18-02-2024"/>
        <s v="25-09-2024"/>
        <s v="29-08-2024"/>
        <s v="25-10-2024"/>
        <s v="01-11-2024"/>
        <s v="28-03-2024"/>
        <s v="24-08-2024"/>
        <s v="20-06-2024"/>
        <s v="24-01-2024"/>
        <s v="28-08-2024"/>
        <s v="16-01-2024"/>
        <s v="09-11-2024"/>
        <s v="19-02-2024"/>
      </sharedItems>
    </cacheField>
    <cacheField name="CustomerName" numFmtId="0">
      <sharedItems/>
    </cacheField>
    <cacheField name="City" numFmtId="0">
      <sharedItems count="8">
        <s v="Bangalore"/>
        <s v="Mumbai"/>
        <s v="Lucknow"/>
        <s v="Delhi"/>
        <s v="Pune"/>
        <s v="Jaipur"/>
        <s v="Chennai"/>
        <s v="Hyderabad"/>
      </sharedItems>
    </cacheField>
    <cacheField name="Product" numFmtId="0">
      <sharedItems count="8">
        <s v="Phone"/>
        <s v="Laptop"/>
        <s v="Keyboard"/>
        <s v="Tablet"/>
        <s v="Headphones"/>
        <s v="Chair"/>
        <s v="Monitor"/>
        <s v="Table"/>
      </sharedItems>
    </cacheField>
    <cacheField name="Category" numFmtId="0">
      <sharedItems count="3">
        <s v="Electronics"/>
        <s v="Accessories"/>
        <s v="Furniture"/>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1500" maxValue="50000"/>
    </cacheField>
    <cacheField name="Discount" numFmtId="0">
      <sharedItems containsSemiMixedTypes="0" containsString="0" containsNumber="1" minValue="0" maxValue="0.15"/>
    </cacheField>
    <cacheField name="Sales" numFmtId="1">
      <sharedItems containsSemiMixedTypes="0" containsString="0" containsNumber="1" containsInteger="1" minValue="1275" maxValue="250000"/>
    </cacheField>
    <cacheField name="Month" numFmtId="0">
      <sharedItems count="12">
        <s v="May"/>
        <s v="April"/>
        <s v="October"/>
        <s v="July"/>
        <s v="June"/>
        <s v="November"/>
        <s v="August"/>
        <s v="December"/>
        <s v="January"/>
        <s v="March"/>
        <s v="February"/>
        <s v="September"/>
      </sharedItems>
    </cacheField>
  </cacheFields>
  <extLst>
    <ext xmlns:x14="http://schemas.microsoft.com/office/spreadsheetml/2009/9/main" uri="{725AE2AE-9491-48be-B2B4-4EB974FC3084}">
      <x14:pivotCacheDefinition pivotCacheId="3351503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x v="0"/>
    <n v="20000"/>
    <n v="0.1"/>
    <n v="18000"/>
  </r>
  <r>
    <x v="1"/>
    <x v="1"/>
    <x v="1"/>
    <x v="1"/>
    <x v="0"/>
    <x v="0"/>
    <x v="1"/>
    <n v="20000"/>
    <n v="0"/>
    <n v="100000"/>
  </r>
  <r>
    <x v="2"/>
    <x v="2"/>
    <x v="2"/>
    <x v="2"/>
    <x v="1"/>
    <x v="0"/>
    <x v="0"/>
    <n v="50000"/>
    <n v="0.05"/>
    <n v="47500"/>
  </r>
  <r>
    <x v="3"/>
    <x v="3"/>
    <x v="3"/>
    <x v="1"/>
    <x v="2"/>
    <x v="1"/>
    <x v="2"/>
    <n v="1500"/>
    <n v="0.15"/>
    <n v="2550"/>
  </r>
  <r>
    <x v="4"/>
    <x v="4"/>
    <x v="4"/>
    <x v="2"/>
    <x v="3"/>
    <x v="0"/>
    <x v="3"/>
    <n v="30000"/>
    <n v="0.1"/>
    <n v="108000"/>
  </r>
  <r>
    <x v="5"/>
    <x v="5"/>
    <x v="5"/>
    <x v="3"/>
    <x v="4"/>
    <x v="1"/>
    <x v="0"/>
    <n v="2000"/>
    <n v="0"/>
    <n v="2000"/>
  </r>
  <r>
    <x v="6"/>
    <x v="6"/>
    <x v="6"/>
    <x v="4"/>
    <x v="4"/>
    <x v="1"/>
    <x v="1"/>
    <n v="2000"/>
    <n v="0.1"/>
    <n v="9000"/>
  </r>
  <r>
    <x v="7"/>
    <x v="7"/>
    <x v="7"/>
    <x v="2"/>
    <x v="2"/>
    <x v="1"/>
    <x v="0"/>
    <n v="1500"/>
    <n v="0.1"/>
    <n v="1350"/>
  </r>
  <r>
    <x v="8"/>
    <x v="8"/>
    <x v="8"/>
    <x v="2"/>
    <x v="0"/>
    <x v="0"/>
    <x v="0"/>
    <n v="20000"/>
    <n v="0.05"/>
    <n v="19000"/>
  </r>
  <r>
    <x v="9"/>
    <x v="9"/>
    <x v="7"/>
    <x v="0"/>
    <x v="0"/>
    <x v="0"/>
    <x v="3"/>
    <n v="20000"/>
    <n v="0.1"/>
    <n v="72000"/>
  </r>
  <r>
    <x v="10"/>
    <x v="10"/>
    <x v="3"/>
    <x v="4"/>
    <x v="4"/>
    <x v="1"/>
    <x v="4"/>
    <n v="2000"/>
    <n v="0.05"/>
    <n v="5700"/>
  </r>
  <r>
    <x v="11"/>
    <x v="11"/>
    <x v="6"/>
    <x v="5"/>
    <x v="3"/>
    <x v="0"/>
    <x v="1"/>
    <n v="30000"/>
    <n v="0.05"/>
    <n v="142500"/>
  </r>
  <r>
    <x v="12"/>
    <x v="12"/>
    <x v="9"/>
    <x v="1"/>
    <x v="5"/>
    <x v="2"/>
    <x v="1"/>
    <n v="7000"/>
    <n v="0.05"/>
    <n v="33250"/>
  </r>
  <r>
    <x v="13"/>
    <x v="13"/>
    <x v="3"/>
    <x v="4"/>
    <x v="6"/>
    <x v="2"/>
    <x v="0"/>
    <n v="3000"/>
    <n v="0.1"/>
    <n v="2700"/>
  </r>
  <r>
    <x v="14"/>
    <x v="14"/>
    <x v="10"/>
    <x v="5"/>
    <x v="6"/>
    <x v="2"/>
    <x v="1"/>
    <n v="3000"/>
    <n v="0.1"/>
    <n v="13500"/>
  </r>
  <r>
    <x v="15"/>
    <x v="15"/>
    <x v="0"/>
    <x v="6"/>
    <x v="7"/>
    <x v="0"/>
    <x v="2"/>
    <n v="12000"/>
    <n v="0.1"/>
    <n v="21600"/>
  </r>
  <r>
    <x v="16"/>
    <x v="16"/>
    <x v="0"/>
    <x v="0"/>
    <x v="2"/>
    <x v="1"/>
    <x v="1"/>
    <n v="1500"/>
    <n v="0.15"/>
    <n v="6375"/>
  </r>
  <r>
    <x v="17"/>
    <x v="17"/>
    <x v="4"/>
    <x v="0"/>
    <x v="7"/>
    <x v="0"/>
    <x v="0"/>
    <n v="12000"/>
    <n v="0"/>
    <n v="12000"/>
  </r>
  <r>
    <x v="18"/>
    <x v="18"/>
    <x v="11"/>
    <x v="7"/>
    <x v="2"/>
    <x v="1"/>
    <x v="1"/>
    <n v="1500"/>
    <n v="0"/>
    <n v="7500"/>
  </r>
  <r>
    <x v="19"/>
    <x v="19"/>
    <x v="5"/>
    <x v="6"/>
    <x v="5"/>
    <x v="2"/>
    <x v="1"/>
    <n v="7000"/>
    <n v="0"/>
    <n v="35000"/>
  </r>
  <r>
    <x v="20"/>
    <x v="20"/>
    <x v="12"/>
    <x v="7"/>
    <x v="4"/>
    <x v="1"/>
    <x v="0"/>
    <n v="2000"/>
    <n v="0.1"/>
    <n v="1800"/>
  </r>
  <r>
    <x v="21"/>
    <x v="21"/>
    <x v="5"/>
    <x v="6"/>
    <x v="1"/>
    <x v="0"/>
    <x v="4"/>
    <n v="50000"/>
    <n v="0.05"/>
    <n v="142500"/>
  </r>
  <r>
    <x v="22"/>
    <x v="22"/>
    <x v="2"/>
    <x v="3"/>
    <x v="6"/>
    <x v="2"/>
    <x v="2"/>
    <n v="3000"/>
    <n v="0.1"/>
    <n v="5400"/>
  </r>
  <r>
    <x v="23"/>
    <x v="16"/>
    <x v="13"/>
    <x v="2"/>
    <x v="7"/>
    <x v="0"/>
    <x v="0"/>
    <n v="12000"/>
    <n v="0"/>
    <n v="12000"/>
  </r>
  <r>
    <x v="24"/>
    <x v="23"/>
    <x v="10"/>
    <x v="4"/>
    <x v="1"/>
    <x v="0"/>
    <x v="2"/>
    <n v="50000"/>
    <n v="0"/>
    <n v="100000"/>
  </r>
  <r>
    <x v="25"/>
    <x v="24"/>
    <x v="12"/>
    <x v="6"/>
    <x v="3"/>
    <x v="0"/>
    <x v="2"/>
    <n v="30000"/>
    <n v="0.15"/>
    <n v="51000"/>
  </r>
  <r>
    <x v="26"/>
    <x v="25"/>
    <x v="11"/>
    <x v="3"/>
    <x v="2"/>
    <x v="1"/>
    <x v="2"/>
    <n v="1500"/>
    <n v="0.05"/>
    <n v="2850"/>
  </r>
  <r>
    <x v="27"/>
    <x v="26"/>
    <x v="0"/>
    <x v="2"/>
    <x v="7"/>
    <x v="0"/>
    <x v="1"/>
    <n v="12000"/>
    <n v="0.15"/>
    <n v="51000"/>
  </r>
  <r>
    <x v="28"/>
    <x v="3"/>
    <x v="0"/>
    <x v="2"/>
    <x v="0"/>
    <x v="0"/>
    <x v="4"/>
    <n v="20000"/>
    <n v="0"/>
    <n v="60000"/>
  </r>
  <r>
    <x v="29"/>
    <x v="27"/>
    <x v="8"/>
    <x v="1"/>
    <x v="1"/>
    <x v="0"/>
    <x v="0"/>
    <n v="50000"/>
    <n v="0"/>
    <n v="50000"/>
  </r>
  <r>
    <x v="30"/>
    <x v="4"/>
    <x v="10"/>
    <x v="2"/>
    <x v="4"/>
    <x v="1"/>
    <x v="0"/>
    <n v="2000"/>
    <n v="0.05"/>
    <n v="1900"/>
  </r>
  <r>
    <x v="31"/>
    <x v="28"/>
    <x v="10"/>
    <x v="5"/>
    <x v="3"/>
    <x v="0"/>
    <x v="1"/>
    <n v="30000"/>
    <n v="0.15"/>
    <n v="127500"/>
  </r>
  <r>
    <x v="32"/>
    <x v="29"/>
    <x v="1"/>
    <x v="3"/>
    <x v="6"/>
    <x v="2"/>
    <x v="0"/>
    <n v="3000"/>
    <n v="0"/>
    <n v="3000"/>
  </r>
  <r>
    <x v="33"/>
    <x v="30"/>
    <x v="5"/>
    <x v="1"/>
    <x v="2"/>
    <x v="1"/>
    <x v="3"/>
    <n v="1500"/>
    <n v="0.15"/>
    <n v="5100"/>
  </r>
  <r>
    <x v="34"/>
    <x v="31"/>
    <x v="14"/>
    <x v="2"/>
    <x v="2"/>
    <x v="1"/>
    <x v="4"/>
    <n v="1500"/>
    <n v="0"/>
    <n v="4500"/>
  </r>
  <r>
    <x v="35"/>
    <x v="32"/>
    <x v="3"/>
    <x v="7"/>
    <x v="7"/>
    <x v="0"/>
    <x v="2"/>
    <n v="12000"/>
    <n v="0.15"/>
    <n v="20400"/>
  </r>
  <r>
    <x v="36"/>
    <x v="24"/>
    <x v="5"/>
    <x v="1"/>
    <x v="6"/>
    <x v="2"/>
    <x v="0"/>
    <n v="3000"/>
    <n v="0.15"/>
    <n v="2550"/>
  </r>
  <r>
    <x v="37"/>
    <x v="33"/>
    <x v="1"/>
    <x v="7"/>
    <x v="1"/>
    <x v="0"/>
    <x v="0"/>
    <n v="50000"/>
    <n v="0.05"/>
    <n v="47500"/>
  </r>
  <r>
    <x v="38"/>
    <x v="34"/>
    <x v="12"/>
    <x v="5"/>
    <x v="7"/>
    <x v="0"/>
    <x v="2"/>
    <n v="12000"/>
    <n v="0.15"/>
    <n v="20400"/>
  </r>
  <r>
    <x v="39"/>
    <x v="9"/>
    <x v="13"/>
    <x v="5"/>
    <x v="1"/>
    <x v="0"/>
    <x v="3"/>
    <n v="50000"/>
    <n v="0.1"/>
    <n v="180000"/>
  </r>
  <r>
    <x v="40"/>
    <x v="35"/>
    <x v="14"/>
    <x v="1"/>
    <x v="7"/>
    <x v="0"/>
    <x v="2"/>
    <n v="12000"/>
    <n v="0.05"/>
    <n v="22800"/>
  </r>
  <r>
    <x v="41"/>
    <x v="36"/>
    <x v="10"/>
    <x v="0"/>
    <x v="1"/>
    <x v="0"/>
    <x v="4"/>
    <n v="50000"/>
    <n v="0"/>
    <n v="150000"/>
  </r>
  <r>
    <x v="42"/>
    <x v="37"/>
    <x v="8"/>
    <x v="4"/>
    <x v="1"/>
    <x v="0"/>
    <x v="1"/>
    <n v="50000"/>
    <n v="0"/>
    <n v="250000"/>
  </r>
  <r>
    <x v="43"/>
    <x v="38"/>
    <x v="0"/>
    <x v="1"/>
    <x v="6"/>
    <x v="2"/>
    <x v="3"/>
    <n v="3000"/>
    <n v="0"/>
    <n v="12000"/>
  </r>
  <r>
    <x v="44"/>
    <x v="39"/>
    <x v="14"/>
    <x v="3"/>
    <x v="0"/>
    <x v="0"/>
    <x v="3"/>
    <n v="20000"/>
    <n v="0.1"/>
    <n v="72000"/>
  </r>
  <r>
    <x v="45"/>
    <x v="40"/>
    <x v="13"/>
    <x v="7"/>
    <x v="6"/>
    <x v="2"/>
    <x v="4"/>
    <n v="3000"/>
    <n v="0.15"/>
    <n v="7650"/>
  </r>
  <r>
    <x v="46"/>
    <x v="41"/>
    <x v="5"/>
    <x v="4"/>
    <x v="4"/>
    <x v="1"/>
    <x v="0"/>
    <n v="2000"/>
    <n v="0"/>
    <n v="2000"/>
  </r>
  <r>
    <x v="47"/>
    <x v="40"/>
    <x v="7"/>
    <x v="4"/>
    <x v="6"/>
    <x v="2"/>
    <x v="1"/>
    <n v="3000"/>
    <n v="0.1"/>
    <n v="13500"/>
  </r>
  <r>
    <x v="48"/>
    <x v="42"/>
    <x v="6"/>
    <x v="6"/>
    <x v="6"/>
    <x v="2"/>
    <x v="4"/>
    <n v="3000"/>
    <n v="0.1"/>
    <n v="8100"/>
  </r>
  <r>
    <x v="49"/>
    <x v="43"/>
    <x v="5"/>
    <x v="0"/>
    <x v="1"/>
    <x v="0"/>
    <x v="1"/>
    <n v="50000"/>
    <n v="0.1"/>
    <n v="225000"/>
  </r>
  <r>
    <x v="50"/>
    <x v="44"/>
    <x v="4"/>
    <x v="6"/>
    <x v="5"/>
    <x v="2"/>
    <x v="0"/>
    <n v="7000"/>
    <n v="0"/>
    <n v="7000"/>
  </r>
  <r>
    <x v="51"/>
    <x v="45"/>
    <x v="14"/>
    <x v="6"/>
    <x v="5"/>
    <x v="2"/>
    <x v="1"/>
    <n v="7000"/>
    <n v="0.05"/>
    <n v="33250"/>
  </r>
  <r>
    <x v="52"/>
    <x v="46"/>
    <x v="1"/>
    <x v="6"/>
    <x v="7"/>
    <x v="0"/>
    <x v="4"/>
    <n v="12000"/>
    <n v="0"/>
    <n v="36000"/>
  </r>
  <r>
    <x v="53"/>
    <x v="47"/>
    <x v="3"/>
    <x v="0"/>
    <x v="1"/>
    <x v="0"/>
    <x v="0"/>
    <n v="50000"/>
    <n v="0.1"/>
    <n v="45000"/>
  </r>
  <r>
    <x v="54"/>
    <x v="48"/>
    <x v="2"/>
    <x v="4"/>
    <x v="7"/>
    <x v="0"/>
    <x v="1"/>
    <n v="12000"/>
    <n v="0.15"/>
    <n v="51000"/>
  </r>
  <r>
    <x v="55"/>
    <x v="49"/>
    <x v="4"/>
    <x v="5"/>
    <x v="0"/>
    <x v="0"/>
    <x v="2"/>
    <n v="20000"/>
    <n v="0"/>
    <n v="40000"/>
  </r>
  <r>
    <x v="56"/>
    <x v="50"/>
    <x v="15"/>
    <x v="3"/>
    <x v="3"/>
    <x v="0"/>
    <x v="0"/>
    <n v="30000"/>
    <n v="0.1"/>
    <n v="27000"/>
  </r>
  <r>
    <x v="57"/>
    <x v="51"/>
    <x v="1"/>
    <x v="0"/>
    <x v="6"/>
    <x v="2"/>
    <x v="2"/>
    <n v="3000"/>
    <n v="0"/>
    <n v="6000"/>
  </r>
  <r>
    <x v="58"/>
    <x v="52"/>
    <x v="2"/>
    <x v="0"/>
    <x v="6"/>
    <x v="2"/>
    <x v="2"/>
    <n v="3000"/>
    <n v="0.05"/>
    <n v="5700"/>
  </r>
  <r>
    <x v="59"/>
    <x v="53"/>
    <x v="12"/>
    <x v="4"/>
    <x v="4"/>
    <x v="1"/>
    <x v="3"/>
    <n v="2000"/>
    <n v="0.05"/>
    <n v="7600"/>
  </r>
  <r>
    <x v="60"/>
    <x v="54"/>
    <x v="14"/>
    <x v="7"/>
    <x v="2"/>
    <x v="1"/>
    <x v="0"/>
    <n v="1500"/>
    <n v="0.15"/>
    <n v="1275"/>
  </r>
  <r>
    <x v="61"/>
    <x v="55"/>
    <x v="2"/>
    <x v="2"/>
    <x v="4"/>
    <x v="1"/>
    <x v="4"/>
    <n v="2000"/>
    <n v="0.05"/>
    <n v="5700"/>
  </r>
  <r>
    <x v="62"/>
    <x v="56"/>
    <x v="3"/>
    <x v="3"/>
    <x v="2"/>
    <x v="1"/>
    <x v="4"/>
    <n v="1500"/>
    <n v="0.1"/>
    <n v="4050"/>
  </r>
  <r>
    <x v="63"/>
    <x v="57"/>
    <x v="5"/>
    <x v="6"/>
    <x v="2"/>
    <x v="1"/>
    <x v="1"/>
    <n v="1500"/>
    <n v="0.1"/>
    <n v="6750"/>
  </r>
  <r>
    <x v="64"/>
    <x v="58"/>
    <x v="5"/>
    <x v="5"/>
    <x v="3"/>
    <x v="0"/>
    <x v="1"/>
    <n v="30000"/>
    <n v="0.1"/>
    <n v="135000"/>
  </r>
  <r>
    <x v="65"/>
    <x v="59"/>
    <x v="5"/>
    <x v="5"/>
    <x v="4"/>
    <x v="1"/>
    <x v="4"/>
    <n v="2000"/>
    <n v="0.15"/>
    <n v="5100"/>
  </r>
  <r>
    <x v="66"/>
    <x v="60"/>
    <x v="1"/>
    <x v="1"/>
    <x v="6"/>
    <x v="2"/>
    <x v="4"/>
    <n v="3000"/>
    <n v="0"/>
    <n v="9000"/>
  </r>
  <r>
    <x v="67"/>
    <x v="56"/>
    <x v="9"/>
    <x v="3"/>
    <x v="6"/>
    <x v="2"/>
    <x v="4"/>
    <n v="3000"/>
    <n v="0.15"/>
    <n v="7650"/>
  </r>
  <r>
    <x v="68"/>
    <x v="61"/>
    <x v="1"/>
    <x v="3"/>
    <x v="0"/>
    <x v="0"/>
    <x v="4"/>
    <n v="20000"/>
    <n v="0.1"/>
    <n v="54000"/>
  </r>
  <r>
    <x v="69"/>
    <x v="62"/>
    <x v="1"/>
    <x v="5"/>
    <x v="2"/>
    <x v="1"/>
    <x v="4"/>
    <n v="1500"/>
    <n v="0.05"/>
    <n v="4275"/>
  </r>
  <r>
    <x v="70"/>
    <x v="63"/>
    <x v="2"/>
    <x v="6"/>
    <x v="3"/>
    <x v="0"/>
    <x v="1"/>
    <n v="30000"/>
    <n v="0.1"/>
    <n v="135000"/>
  </r>
  <r>
    <x v="71"/>
    <x v="64"/>
    <x v="9"/>
    <x v="7"/>
    <x v="5"/>
    <x v="2"/>
    <x v="2"/>
    <n v="7000"/>
    <n v="0.15"/>
    <n v="11900"/>
  </r>
  <r>
    <x v="72"/>
    <x v="65"/>
    <x v="10"/>
    <x v="0"/>
    <x v="7"/>
    <x v="0"/>
    <x v="3"/>
    <n v="12000"/>
    <n v="0.05"/>
    <n v="45600"/>
  </r>
  <r>
    <x v="73"/>
    <x v="46"/>
    <x v="0"/>
    <x v="6"/>
    <x v="0"/>
    <x v="0"/>
    <x v="4"/>
    <n v="20000"/>
    <n v="0.1"/>
    <n v="54000"/>
  </r>
  <r>
    <x v="74"/>
    <x v="66"/>
    <x v="15"/>
    <x v="2"/>
    <x v="6"/>
    <x v="2"/>
    <x v="2"/>
    <n v="3000"/>
    <n v="0.05"/>
    <n v="5700"/>
  </r>
  <r>
    <x v="75"/>
    <x v="67"/>
    <x v="1"/>
    <x v="2"/>
    <x v="7"/>
    <x v="0"/>
    <x v="1"/>
    <n v="12000"/>
    <n v="0"/>
    <n v="60000"/>
  </r>
  <r>
    <x v="76"/>
    <x v="28"/>
    <x v="4"/>
    <x v="1"/>
    <x v="2"/>
    <x v="1"/>
    <x v="3"/>
    <n v="1500"/>
    <n v="0.15"/>
    <n v="5100"/>
  </r>
  <r>
    <x v="77"/>
    <x v="68"/>
    <x v="6"/>
    <x v="1"/>
    <x v="0"/>
    <x v="0"/>
    <x v="3"/>
    <n v="20000"/>
    <n v="0.05"/>
    <n v="76000"/>
  </r>
  <r>
    <x v="78"/>
    <x v="69"/>
    <x v="6"/>
    <x v="3"/>
    <x v="6"/>
    <x v="2"/>
    <x v="0"/>
    <n v="3000"/>
    <n v="0.15"/>
    <n v="2550"/>
  </r>
  <r>
    <x v="79"/>
    <x v="70"/>
    <x v="6"/>
    <x v="0"/>
    <x v="7"/>
    <x v="0"/>
    <x v="1"/>
    <n v="12000"/>
    <n v="0.15"/>
    <n v="51000"/>
  </r>
  <r>
    <x v="80"/>
    <x v="71"/>
    <x v="3"/>
    <x v="7"/>
    <x v="7"/>
    <x v="0"/>
    <x v="3"/>
    <n v="12000"/>
    <n v="0.1"/>
    <n v="43200"/>
  </r>
  <r>
    <x v="81"/>
    <x v="72"/>
    <x v="13"/>
    <x v="2"/>
    <x v="6"/>
    <x v="2"/>
    <x v="4"/>
    <n v="3000"/>
    <n v="0.15"/>
    <n v="7650"/>
  </r>
  <r>
    <x v="82"/>
    <x v="73"/>
    <x v="8"/>
    <x v="0"/>
    <x v="5"/>
    <x v="2"/>
    <x v="4"/>
    <n v="7000"/>
    <n v="0.1"/>
    <n v="18900"/>
  </r>
  <r>
    <x v="83"/>
    <x v="74"/>
    <x v="4"/>
    <x v="2"/>
    <x v="3"/>
    <x v="0"/>
    <x v="2"/>
    <n v="30000"/>
    <n v="0.15"/>
    <n v="51000"/>
  </r>
  <r>
    <x v="84"/>
    <x v="75"/>
    <x v="6"/>
    <x v="5"/>
    <x v="0"/>
    <x v="0"/>
    <x v="3"/>
    <n v="20000"/>
    <n v="0.15"/>
    <n v="68000"/>
  </r>
  <r>
    <x v="85"/>
    <x v="76"/>
    <x v="2"/>
    <x v="5"/>
    <x v="1"/>
    <x v="0"/>
    <x v="2"/>
    <n v="50000"/>
    <n v="0.15"/>
    <n v="85000"/>
  </r>
  <r>
    <x v="86"/>
    <x v="77"/>
    <x v="11"/>
    <x v="5"/>
    <x v="7"/>
    <x v="0"/>
    <x v="0"/>
    <n v="12000"/>
    <n v="0.1"/>
    <n v="10800"/>
  </r>
  <r>
    <x v="87"/>
    <x v="78"/>
    <x v="1"/>
    <x v="7"/>
    <x v="6"/>
    <x v="2"/>
    <x v="3"/>
    <n v="3000"/>
    <n v="0.05"/>
    <n v="11400"/>
  </r>
  <r>
    <x v="88"/>
    <x v="79"/>
    <x v="11"/>
    <x v="0"/>
    <x v="1"/>
    <x v="0"/>
    <x v="3"/>
    <n v="50000"/>
    <n v="0.1"/>
    <n v="180000"/>
  </r>
  <r>
    <x v="89"/>
    <x v="80"/>
    <x v="2"/>
    <x v="4"/>
    <x v="7"/>
    <x v="0"/>
    <x v="2"/>
    <n v="12000"/>
    <n v="0"/>
    <n v="24000"/>
  </r>
  <r>
    <x v="90"/>
    <x v="32"/>
    <x v="15"/>
    <x v="6"/>
    <x v="2"/>
    <x v="1"/>
    <x v="2"/>
    <n v="1500"/>
    <n v="0.15"/>
    <n v="2550"/>
  </r>
  <r>
    <x v="91"/>
    <x v="9"/>
    <x v="9"/>
    <x v="3"/>
    <x v="2"/>
    <x v="1"/>
    <x v="4"/>
    <n v="1500"/>
    <n v="0.05"/>
    <n v="4275"/>
  </r>
  <r>
    <x v="92"/>
    <x v="81"/>
    <x v="8"/>
    <x v="7"/>
    <x v="2"/>
    <x v="1"/>
    <x v="4"/>
    <n v="1500"/>
    <n v="0.15"/>
    <n v="3825"/>
  </r>
  <r>
    <x v="93"/>
    <x v="82"/>
    <x v="0"/>
    <x v="4"/>
    <x v="1"/>
    <x v="0"/>
    <x v="1"/>
    <n v="50000"/>
    <n v="0"/>
    <n v="250000"/>
  </r>
  <r>
    <x v="94"/>
    <x v="83"/>
    <x v="2"/>
    <x v="0"/>
    <x v="1"/>
    <x v="0"/>
    <x v="0"/>
    <n v="50000"/>
    <n v="0.05"/>
    <n v="47500"/>
  </r>
  <r>
    <x v="95"/>
    <x v="79"/>
    <x v="5"/>
    <x v="2"/>
    <x v="6"/>
    <x v="2"/>
    <x v="2"/>
    <n v="3000"/>
    <n v="0.15"/>
    <n v="5100"/>
  </r>
  <r>
    <x v="96"/>
    <x v="33"/>
    <x v="5"/>
    <x v="0"/>
    <x v="7"/>
    <x v="0"/>
    <x v="4"/>
    <n v="12000"/>
    <n v="0.1"/>
    <n v="32400"/>
  </r>
  <r>
    <x v="97"/>
    <x v="25"/>
    <x v="11"/>
    <x v="5"/>
    <x v="5"/>
    <x v="2"/>
    <x v="0"/>
    <n v="7000"/>
    <n v="0"/>
    <n v="7000"/>
  </r>
  <r>
    <x v="98"/>
    <x v="84"/>
    <x v="13"/>
    <x v="4"/>
    <x v="6"/>
    <x v="2"/>
    <x v="0"/>
    <n v="3000"/>
    <n v="0.05"/>
    <n v="2850"/>
  </r>
  <r>
    <x v="99"/>
    <x v="85"/>
    <x v="7"/>
    <x v="4"/>
    <x v="1"/>
    <x v="0"/>
    <x v="4"/>
    <n v="50000"/>
    <n v="0.15"/>
    <n v="127500"/>
  </r>
  <r>
    <x v="100"/>
    <x v="86"/>
    <x v="5"/>
    <x v="5"/>
    <x v="4"/>
    <x v="1"/>
    <x v="0"/>
    <n v="2000"/>
    <n v="0.15"/>
    <n v="1700"/>
  </r>
  <r>
    <x v="101"/>
    <x v="20"/>
    <x v="12"/>
    <x v="6"/>
    <x v="4"/>
    <x v="1"/>
    <x v="3"/>
    <n v="2000"/>
    <n v="0.05"/>
    <n v="7600"/>
  </r>
  <r>
    <x v="102"/>
    <x v="87"/>
    <x v="3"/>
    <x v="3"/>
    <x v="7"/>
    <x v="0"/>
    <x v="3"/>
    <n v="12000"/>
    <n v="0.15"/>
    <n v="40800"/>
  </r>
  <r>
    <x v="103"/>
    <x v="88"/>
    <x v="0"/>
    <x v="7"/>
    <x v="6"/>
    <x v="2"/>
    <x v="0"/>
    <n v="3000"/>
    <n v="0.1"/>
    <n v="2700"/>
  </r>
  <r>
    <x v="104"/>
    <x v="89"/>
    <x v="9"/>
    <x v="0"/>
    <x v="2"/>
    <x v="1"/>
    <x v="4"/>
    <n v="1500"/>
    <n v="0"/>
    <n v="4500"/>
  </r>
  <r>
    <x v="105"/>
    <x v="90"/>
    <x v="9"/>
    <x v="6"/>
    <x v="7"/>
    <x v="0"/>
    <x v="2"/>
    <n v="12000"/>
    <n v="0.1"/>
    <n v="21600"/>
  </r>
  <r>
    <x v="106"/>
    <x v="91"/>
    <x v="14"/>
    <x v="4"/>
    <x v="5"/>
    <x v="2"/>
    <x v="1"/>
    <n v="7000"/>
    <n v="0"/>
    <n v="35000"/>
  </r>
  <r>
    <x v="107"/>
    <x v="92"/>
    <x v="0"/>
    <x v="7"/>
    <x v="6"/>
    <x v="2"/>
    <x v="3"/>
    <n v="3000"/>
    <n v="0.15"/>
    <n v="10200"/>
  </r>
  <r>
    <x v="108"/>
    <x v="46"/>
    <x v="13"/>
    <x v="2"/>
    <x v="7"/>
    <x v="0"/>
    <x v="3"/>
    <n v="12000"/>
    <n v="0"/>
    <n v="48000"/>
  </r>
  <r>
    <x v="109"/>
    <x v="43"/>
    <x v="7"/>
    <x v="7"/>
    <x v="2"/>
    <x v="1"/>
    <x v="2"/>
    <n v="1500"/>
    <n v="0.1"/>
    <n v="2700"/>
  </r>
  <r>
    <x v="110"/>
    <x v="93"/>
    <x v="6"/>
    <x v="6"/>
    <x v="4"/>
    <x v="1"/>
    <x v="3"/>
    <n v="2000"/>
    <n v="0.1"/>
    <n v="7200"/>
  </r>
  <r>
    <x v="111"/>
    <x v="26"/>
    <x v="14"/>
    <x v="3"/>
    <x v="5"/>
    <x v="2"/>
    <x v="4"/>
    <n v="7000"/>
    <n v="0.05"/>
    <n v="19950"/>
  </r>
  <r>
    <x v="112"/>
    <x v="62"/>
    <x v="14"/>
    <x v="7"/>
    <x v="0"/>
    <x v="0"/>
    <x v="1"/>
    <n v="20000"/>
    <n v="0.05"/>
    <n v="95000"/>
  </r>
  <r>
    <x v="113"/>
    <x v="94"/>
    <x v="14"/>
    <x v="6"/>
    <x v="5"/>
    <x v="2"/>
    <x v="1"/>
    <n v="7000"/>
    <n v="0.1"/>
    <n v="31500"/>
  </r>
  <r>
    <x v="114"/>
    <x v="95"/>
    <x v="2"/>
    <x v="0"/>
    <x v="6"/>
    <x v="2"/>
    <x v="4"/>
    <n v="3000"/>
    <n v="0.05"/>
    <n v="8550"/>
  </r>
  <r>
    <x v="115"/>
    <x v="44"/>
    <x v="13"/>
    <x v="0"/>
    <x v="5"/>
    <x v="2"/>
    <x v="0"/>
    <n v="7000"/>
    <n v="0"/>
    <n v="7000"/>
  </r>
  <r>
    <x v="116"/>
    <x v="96"/>
    <x v="13"/>
    <x v="7"/>
    <x v="7"/>
    <x v="0"/>
    <x v="0"/>
    <n v="12000"/>
    <n v="0"/>
    <n v="12000"/>
  </r>
  <r>
    <x v="117"/>
    <x v="97"/>
    <x v="15"/>
    <x v="6"/>
    <x v="7"/>
    <x v="0"/>
    <x v="3"/>
    <n v="12000"/>
    <n v="0.1"/>
    <n v="43200"/>
  </r>
  <r>
    <x v="118"/>
    <x v="13"/>
    <x v="10"/>
    <x v="4"/>
    <x v="7"/>
    <x v="0"/>
    <x v="0"/>
    <n v="12000"/>
    <n v="0"/>
    <n v="12000"/>
  </r>
  <r>
    <x v="119"/>
    <x v="98"/>
    <x v="13"/>
    <x v="4"/>
    <x v="1"/>
    <x v="0"/>
    <x v="2"/>
    <n v="50000"/>
    <n v="0.05"/>
    <n v="95000"/>
  </r>
  <r>
    <x v="120"/>
    <x v="59"/>
    <x v="0"/>
    <x v="5"/>
    <x v="6"/>
    <x v="2"/>
    <x v="0"/>
    <n v="3000"/>
    <n v="0.15"/>
    <n v="2550"/>
  </r>
  <r>
    <x v="121"/>
    <x v="3"/>
    <x v="1"/>
    <x v="6"/>
    <x v="7"/>
    <x v="0"/>
    <x v="3"/>
    <n v="12000"/>
    <n v="0.1"/>
    <n v="43200"/>
  </r>
  <r>
    <x v="122"/>
    <x v="99"/>
    <x v="14"/>
    <x v="6"/>
    <x v="1"/>
    <x v="0"/>
    <x v="1"/>
    <n v="50000"/>
    <n v="0"/>
    <n v="250000"/>
  </r>
  <r>
    <x v="123"/>
    <x v="100"/>
    <x v="8"/>
    <x v="0"/>
    <x v="0"/>
    <x v="0"/>
    <x v="2"/>
    <n v="20000"/>
    <n v="0.05"/>
    <n v="38000"/>
  </r>
  <r>
    <x v="124"/>
    <x v="101"/>
    <x v="10"/>
    <x v="6"/>
    <x v="1"/>
    <x v="0"/>
    <x v="3"/>
    <n v="50000"/>
    <n v="0.15"/>
    <n v="170000"/>
  </r>
  <r>
    <x v="125"/>
    <x v="102"/>
    <x v="13"/>
    <x v="7"/>
    <x v="1"/>
    <x v="0"/>
    <x v="2"/>
    <n v="50000"/>
    <n v="0.1"/>
    <n v="90000"/>
  </r>
  <r>
    <x v="126"/>
    <x v="103"/>
    <x v="14"/>
    <x v="5"/>
    <x v="0"/>
    <x v="0"/>
    <x v="2"/>
    <n v="20000"/>
    <n v="0.1"/>
    <n v="36000"/>
  </r>
  <r>
    <x v="127"/>
    <x v="104"/>
    <x v="4"/>
    <x v="6"/>
    <x v="0"/>
    <x v="0"/>
    <x v="1"/>
    <n v="20000"/>
    <n v="0.05"/>
    <n v="95000"/>
  </r>
  <r>
    <x v="128"/>
    <x v="105"/>
    <x v="13"/>
    <x v="6"/>
    <x v="3"/>
    <x v="0"/>
    <x v="0"/>
    <n v="30000"/>
    <n v="0"/>
    <n v="30000"/>
  </r>
  <r>
    <x v="129"/>
    <x v="101"/>
    <x v="13"/>
    <x v="5"/>
    <x v="7"/>
    <x v="0"/>
    <x v="0"/>
    <n v="12000"/>
    <n v="0.15"/>
    <n v="10200"/>
  </r>
  <r>
    <x v="130"/>
    <x v="106"/>
    <x v="8"/>
    <x v="1"/>
    <x v="5"/>
    <x v="2"/>
    <x v="1"/>
    <n v="7000"/>
    <n v="0.15"/>
    <n v="29750"/>
  </r>
  <r>
    <x v="131"/>
    <x v="107"/>
    <x v="8"/>
    <x v="2"/>
    <x v="2"/>
    <x v="1"/>
    <x v="4"/>
    <n v="1500"/>
    <n v="0.1"/>
    <n v="4050"/>
  </r>
  <r>
    <x v="132"/>
    <x v="108"/>
    <x v="10"/>
    <x v="7"/>
    <x v="1"/>
    <x v="0"/>
    <x v="4"/>
    <n v="50000"/>
    <n v="0"/>
    <n v="150000"/>
  </r>
  <r>
    <x v="133"/>
    <x v="109"/>
    <x v="10"/>
    <x v="4"/>
    <x v="5"/>
    <x v="2"/>
    <x v="2"/>
    <n v="7000"/>
    <n v="0.15"/>
    <n v="11900"/>
  </r>
  <r>
    <x v="134"/>
    <x v="110"/>
    <x v="9"/>
    <x v="4"/>
    <x v="7"/>
    <x v="0"/>
    <x v="4"/>
    <n v="12000"/>
    <n v="0.15"/>
    <n v="30600"/>
  </r>
  <r>
    <x v="135"/>
    <x v="74"/>
    <x v="10"/>
    <x v="6"/>
    <x v="3"/>
    <x v="0"/>
    <x v="4"/>
    <n v="30000"/>
    <n v="0.15"/>
    <n v="76500"/>
  </r>
  <r>
    <x v="136"/>
    <x v="9"/>
    <x v="8"/>
    <x v="3"/>
    <x v="2"/>
    <x v="1"/>
    <x v="1"/>
    <n v="1500"/>
    <n v="0"/>
    <n v="7500"/>
  </r>
  <r>
    <x v="137"/>
    <x v="111"/>
    <x v="2"/>
    <x v="7"/>
    <x v="5"/>
    <x v="2"/>
    <x v="4"/>
    <n v="7000"/>
    <n v="0"/>
    <n v="21000"/>
  </r>
  <r>
    <x v="138"/>
    <x v="112"/>
    <x v="7"/>
    <x v="7"/>
    <x v="2"/>
    <x v="1"/>
    <x v="0"/>
    <n v="1500"/>
    <n v="0.05"/>
    <n v="1425"/>
  </r>
  <r>
    <x v="139"/>
    <x v="53"/>
    <x v="4"/>
    <x v="6"/>
    <x v="7"/>
    <x v="0"/>
    <x v="0"/>
    <n v="12000"/>
    <n v="0.05"/>
    <n v="11400"/>
  </r>
  <r>
    <x v="140"/>
    <x v="57"/>
    <x v="0"/>
    <x v="0"/>
    <x v="7"/>
    <x v="0"/>
    <x v="3"/>
    <n v="12000"/>
    <n v="0"/>
    <n v="48000"/>
  </r>
  <r>
    <x v="141"/>
    <x v="113"/>
    <x v="1"/>
    <x v="4"/>
    <x v="5"/>
    <x v="2"/>
    <x v="1"/>
    <n v="7000"/>
    <n v="0"/>
    <n v="35000"/>
  </r>
  <r>
    <x v="142"/>
    <x v="114"/>
    <x v="4"/>
    <x v="7"/>
    <x v="6"/>
    <x v="2"/>
    <x v="0"/>
    <n v="3000"/>
    <n v="0.15"/>
    <n v="2550"/>
  </r>
  <r>
    <x v="143"/>
    <x v="115"/>
    <x v="10"/>
    <x v="7"/>
    <x v="5"/>
    <x v="2"/>
    <x v="1"/>
    <n v="7000"/>
    <n v="0.1"/>
    <n v="31500"/>
  </r>
  <r>
    <x v="144"/>
    <x v="116"/>
    <x v="14"/>
    <x v="0"/>
    <x v="6"/>
    <x v="2"/>
    <x v="3"/>
    <n v="3000"/>
    <n v="0.05"/>
    <n v="11400"/>
  </r>
  <r>
    <x v="145"/>
    <x v="117"/>
    <x v="3"/>
    <x v="1"/>
    <x v="0"/>
    <x v="0"/>
    <x v="4"/>
    <n v="20000"/>
    <n v="0.15"/>
    <n v="51000"/>
  </r>
  <r>
    <x v="146"/>
    <x v="118"/>
    <x v="6"/>
    <x v="7"/>
    <x v="5"/>
    <x v="2"/>
    <x v="4"/>
    <n v="7000"/>
    <n v="0.15"/>
    <n v="17850"/>
  </r>
  <r>
    <x v="147"/>
    <x v="67"/>
    <x v="9"/>
    <x v="2"/>
    <x v="4"/>
    <x v="1"/>
    <x v="4"/>
    <n v="2000"/>
    <n v="0.15"/>
    <n v="5100"/>
  </r>
  <r>
    <x v="148"/>
    <x v="2"/>
    <x v="1"/>
    <x v="1"/>
    <x v="6"/>
    <x v="2"/>
    <x v="1"/>
    <n v="3000"/>
    <n v="0.15"/>
    <n v="12750"/>
  </r>
  <r>
    <x v="149"/>
    <x v="18"/>
    <x v="4"/>
    <x v="7"/>
    <x v="4"/>
    <x v="1"/>
    <x v="3"/>
    <n v="2000"/>
    <n v="0.15"/>
    <n v="6800"/>
  </r>
  <r>
    <x v="150"/>
    <x v="94"/>
    <x v="6"/>
    <x v="4"/>
    <x v="1"/>
    <x v="0"/>
    <x v="2"/>
    <n v="50000"/>
    <n v="0.1"/>
    <n v="90000"/>
  </r>
  <r>
    <x v="151"/>
    <x v="119"/>
    <x v="4"/>
    <x v="4"/>
    <x v="7"/>
    <x v="0"/>
    <x v="0"/>
    <n v="12000"/>
    <n v="0.05"/>
    <n v="11400"/>
  </r>
  <r>
    <x v="152"/>
    <x v="120"/>
    <x v="11"/>
    <x v="4"/>
    <x v="7"/>
    <x v="0"/>
    <x v="4"/>
    <n v="12000"/>
    <n v="0.1"/>
    <n v="32400"/>
  </r>
  <r>
    <x v="153"/>
    <x v="121"/>
    <x v="10"/>
    <x v="1"/>
    <x v="4"/>
    <x v="1"/>
    <x v="1"/>
    <n v="2000"/>
    <n v="0.15"/>
    <n v="8500"/>
  </r>
  <r>
    <x v="154"/>
    <x v="122"/>
    <x v="8"/>
    <x v="5"/>
    <x v="0"/>
    <x v="0"/>
    <x v="2"/>
    <n v="20000"/>
    <n v="0.1"/>
    <n v="36000"/>
  </r>
  <r>
    <x v="155"/>
    <x v="33"/>
    <x v="13"/>
    <x v="1"/>
    <x v="0"/>
    <x v="0"/>
    <x v="0"/>
    <n v="20000"/>
    <n v="0.15"/>
    <n v="17000"/>
  </r>
  <r>
    <x v="156"/>
    <x v="123"/>
    <x v="7"/>
    <x v="3"/>
    <x v="1"/>
    <x v="0"/>
    <x v="4"/>
    <n v="50000"/>
    <n v="0"/>
    <n v="150000"/>
  </r>
  <r>
    <x v="157"/>
    <x v="124"/>
    <x v="1"/>
    <x v="0"/>
    <x v="2"/>
    <x v="1"/>
    <x v="2"/>
    <n v="1500"/>
    <n v="0.05"/>
    <n v="2850"/>
  </r>
  <r>
    <x v="158"/>
    <x v="125"/>
    <x v="11"/>
    <x v="2"/>
    <x v="3"/>
    <x v="0"/>
    <x v="2"/>
    <n v="30000"/>
    <n v="0"/>
    <n v="60000"/>
  </r>
  <r>
    <x v="159"/>
    <x v="126"/>
    <x v="6"/>
    <x v="6"/>
    <x v="7"/>
    <x v="0"/>
    <x v="1"/>
    <n v="12000"/>
    <n v="0.05"/>
    <n v="57000"/>
  </r>
  <r>
    <x v="160"/>
    <x v="127"/>
    <x v="13"/>
    <x v="0"/>
    <x v="7"/>
    <x v="0"/>
    <x v="4"/>
    <n v="12000"/>
    <n v="0"/>
    <n v="36000"/>
  </r>
  <r>
    <x v="161"/>
    <x v="128"/>
    <x v="13"/>
    <x v="5"/>
    <x v="0"/>
    <x v="0"/>
    <x v="3"/>
    <n v="20000"/>
    <n v="0.1"/>
    <n v="72000"/>
  </r>
  <r>
    <x v="162"/>
    <x v="129"/>
    <x v="11"/>
    <x v="7"/>
    <x v="5"/>
    <x v="2"/>
    <x v="3"/>
    <n v="7000"/>
    <n v="0.1"/>
    <n v="25200"/>
  </r>
  <r>
    <x v="163"/>
    <x v="130"/>
    <x v="7"/>
    <x v="6"/>
    <x v="0"/>
    <x v="0"/>
    <x v="2"/>
    <n v="20000"/>
    <n v="0.15"/>
    <n v="34000"/>
  </r>
  <r>
    <x v="164"/>
    <x v="131"/>
    <x v="2"/>
    <x v="1"/>
    <x v="5"/>
    <x v="2"/>
    <x v="0"/>
    <n v="7000"/>
    <n v="0.15"/>
    <n v="5950"/>
  </r>
  <r>
    <x v="165"/>
    <x v="59"/>
    <x v="7"/>
    <x v="2"/>
    <x v="7"/>
    <x v="0"/>
    <x v="4"/>
    <n v="12000"/>
    <n v="0.05"/>
    <n v="34200"/>
  </r>
  <r>
    <x v="166"/>
    <x v="132"/>
    <x v="4"/>
    <x v="4"/>
    <x v="6"/>
    <x v="2"/>
    <x v="1"/>
    <n v="3000"/>
    <n v="0.1"/>
    <n v="13500"/>
  </r>
  <r>
    <x v="167"/>
    <x v="133"/>
    <x v="7"/>
    <x v="0"/>
    <x v="1"/>
    <x v="0"/>
    <x v="4"/>
    <n v="50000"/>
    <n v="0.15"/>
    <n v="127500"/>
  </r>
  <r>
    <x v="168"/>
    <x v="115"/>
    <x v="12"/>
    <x v="2"/>
    <x v="0"/>
    <x v="0"/>
    <x v="4"/>
    <n v="20000"/>
    <n v="0.1"/>
    <n v="54000"/>
  </r>
  <r>
    <x v="169"/>
    <x v="124"/>
    <x v="3"/>
    <x v="0"/>
    <x v="3"/>
    <x v="0"/>
    <x v="1"/>
    <n v="30000"/>
    <n v="0.1"/>
    <n v="135000"/>
  </r>
  <r>
    <x v="170"/>
    <x v="134"/>
    <x v="5"/>
    <x v="7"/>
    <x v="5"/>
    <x v="2"/>
    <x v="3"/>
    <n v="7000"/>
    <n v="0.1"/>
    <n v="25200"/>
  </r>
  <r>
    <x v="171"/>
    <x v="135"/>
    <x v="11"/>
    <x v="3"/>
    <x v="0"/>
    <x v="0"/>
    <x v="2"/>
    <n v="20000"/>
    <n v="0.05"/>
    <n v="38000"/>
  </r>
  <r>
    <x v="172"/>
    <x v="136"/>
    <x v="5"/>
    <x v="7"/>
    <x v="0"/>
    <x v="0"/>
    <x v="3"/>
    <n v="20000"/>
    <n v="0"/>
    <n v="80000"/>
  </r>
  <r>
    <x v="173"/>
    <x v="137"/>
    <x v="7"/>
    <x v="4"/>
    <x v="4"/>
    <x v="1"/>
    <x v="4"/>
    <n v="2000"/>
    <n v="0.15"/>
    <n v="5100"/>
  </r>
  <r>
    <x v="174"/>
    <x v="138"/>
    <x v="9"/>
    <x v="2"/>
    <x v="6"/>
    <x v="2"/>
    <x v="3"/>
    <n v="3000"/>
    <n v="0"/>
    <n v="12000"/>
  </r>
  <r>
    <x v="175"/>
    <x v="139"/>
    <x v="1"/>
    <x v="4"/>
    <x v="0"/>
    <x v="0"/>
    <x v="3"/>
    <n v="20000"/>
    <n v="0.1"/>
    <n v="72000"/>
  </r>
  <r>
    <x v="176"/>
    <x v="140"/>
    <x v="10"/>
    <x v="4"/>
    <x v="3"/>
    <x v="0"/>
    <x v="0"/>
    <n v="30000"/>
    <n v="0"/>
    <n v="30000"/>
  </r>
  <r>
    <x v="177"/>
    <x v="141"/>
    <x v="6"/>
    <x v="3"/>
    <x v="0"/>
    <x v="0"/>
    <x v="2"/>
    <n v="20000"/>
    <n v="0.05"/>
    <n v="38000"/>
  </r>
  <r>
    <x v="178"/>
    <x v="115"/>
    <x v="5"/>
    <x v="7"/>
    <x v="2"/>
    <x v="1"/>
    <x v="1"/>
    <n v="1500"/>
    <n v="0.05"/>
    <n v="7125"/>
  </r>
  <r>
    <x v="179"/>
    <x v="142"/>
    <x v="7"/>
    <x v="2"/>
    <x v="2"/>
    <x v="1"/>
    <x v="4"/>
    <n v="1500"/>
    <n v="0"/>
    <n v="4500"/>
  </r>
  <r>
    <x v="180"/>
    <x v="16"/>
    <x v="5"/>
    <x v="3"/>
    <x v="7"/>
    <x v="0"/>
    <x v="3"/>
    <n v="12000"/>
    <n v="0.05"/>
    <n v="45600"/>
  </r>
  <r>
    <x v="181"/>
    <x v="143"/>
    <x v="14"/>
    <x v="4"/>
    <x v="4"/>
    <x v="1"/>
    <x v="0"/>
    <n v="2000"/>
    <n v="0.15"/>
    <n v="1700"/>
  </r>
  <r>
    <x v="182"/>
    <x v="144"/>
    <x v="2"/>
    <x v="1"/>
    <x v="7"/>
    <x v="0"/>
    <x v="0"/>
    <n v="12000"/>
    <n v="0.05"/>
    <n v="11400"/>
  </r>
  <r>
    <x v="183"/>
    <x v="145"/>
    <x v="14"/>
    <x v="4"/>
    <x v="4"/>
    <x v="1"/>
    <x v="2"/>
    <n v="2000"/>
    <n v="0.05"/>
    <n v="3800"/>
  </r>
  <r>
    <x v="184"/>
    <x v="2"/>
    <x v="9"/>
    <x v="0"/>
    <x v="6"/>
    <x v="2"/>
    <x v="1"/>
    <n v="3000"/>
    <n v="0.05"/>
    <n v="14250"/>
  </r>
  <r>
    <x v="185"/>
    <x v="47"/>
    <x v="3"/>
    <x v="0"/>
    <x v="1"/>
    <x v="0"/>
    <x v="4"/>
    <n v="50000"/>
    <n v="0.05"/>
    <n v="142500"/>
  </r>
  <r>
    <x v="186"/>
    <x v="146"/>
    <x v="7"/>
    <x v="2"/>
    <x v="0"/>
    <x v="0"/>
    <x v="0"/>
    <n v="20000"/>
    <n v="0.05"/>
    <n v="19000"/>
  </r>
  <r>
    <x v="187"/>
    <x v="136"/>
    <x v="15"/>
    <x v="0"/>
    <x v="4"/>
    <x v="1"/>
    <x v="0"/>
    <n v="2000"/>
    <n v="0.05"/>
    <n v="1900"/>
  </r>
  <r>
    <x v="188"/>
    <x v="147"/>
    <x v="10"/>
    <x v="7"/>
    <x v="2"/>
    <x v="1"/>
    <x v="1"/>
    <n v="1500"/>
    <n v="0"/>
    <n v="7500"/>
  </r>
  <r>
    <x v="189"/>
    <x v="148"/>
    <x v="0"/>
    <x v="1"/>
    <x v="4"/>
    <x v="1"/>
    <x v="1"/>
    <n v="2000"/>
    <n v="0"/>
    <n v="10000"/>
  </r>
  <r>
    <x v="190"/>
    <x v="149"/>
    <x v="10"/>
    <x v="5"/>
    <x v="5"/>
    <x v="2"/>
    <x v="3"/>
    <n v="7000"/>
    <n v="0"/>
    <n v="28000"/>
  </r>
  <r>
    <x v="191"/>
    <x v="150"/>
    <x v="6"/>
    <x v="4"/>
    <x v="2"/>
    <x v="1"/>
    <x v="0"/>
    <n v="1500"/>
    <n v="0.15"/>
    <n v="1275"/>
  </r>
  <r>
    <x v="192"/>
    <x v="151"/>
    <x v="4"/>
    <x v="6"/>
    <x v="0"/>
    <x v="0"/>
    <x v="4"/>
    <n v="20000"/>
    <n v="0.05"/>
    <n v="57000"/>
  </r>
  <r>
    <x v="193"/>
    <x v="9"/>
    <x v="1"/>
    <x v="4"/>
    <x v="4"/>
    <x v="1"/>
    <x v="3"/>
    <n v="2000"/>
    <n v="0.1"/>
    <n v="7200"/>
  </r>
  <r>
    <x v="194"/>
    <x v="152"/>
    <x v="6"/>
    <x v="2"/>
    <x v="0"/>
    <x v="0"/>
    <x v="1"/>
    <n v="20000"/>
    <n v="0.05"/>
    <n v="95000"/>
  </r>
  <r>
    <x v="195"/>
    <x v="153"/>
    <x v="1"/>
    <x v="4"/>
    <x v="2"/>
    <x v="1"/>
    <x v="4"/>
    <n v="1500"/>
    <n v="0.15"/>
    <n v="3825"/>
  </r>
  <r>
    <x v="196"/>
    <x v="154"/>
    <x v="3"/>
    <x v="3"/>
    <x v="4"/>
    <x v="1"/>
    <x v="3"/>
    <n v="2000"/>
    <n v="0.1"/>
    <n v="7200"/>
  </r>
  <r>
    <x v="197"/>
    <x v="155"/>
    <x v="8"/>
    <x v="4"/>
    <x v="3"/>
    <x v="0"/>
    <x v="3"/>
    <n v="30000"/>
    <n v="0"/>
    <n v="120000"/>
  </r>
  <r>
    <x v="198"/>
    <x v="47"/>
    <x v="15"/>
    <x v="3"/>
    <x v="2"/>
    <x v="1"/>
    <x v="0"/>
    <n v="1500"/>
    <n v="0.1"/>
    <n v="1350"/>
  </r>
  <r>
    <x v="199"/>
    <x v="154"/>
    <x v="1"/>
    <x v="1"/>
    <x v="0"/>
    <x v="0"/>
    <x v="3"/>
    <n v="20000"/>
    <n v="0.1"/>
    <n v="72000"/>
  </r>
  <r>
    <x v="200"/>
    <x v="93"/>
    <x v="5"/>
    <x v="2"/>
    <x v="5"/>
    <x v="2"/>
    <x v="1"/>
    <n v="7000"/>
    <n v="0.1"/>
    <n v="31500"/>
  </r>
  <r>
    <x v="201"/>
    <x v="156"/>
    <x v="7"/>
    <x v="3"/>
    <x v="3"/>
    <x v="0"/>
    <x v="3"/>
    <n v="30000"/>
    <n v="0.05"/>
    <n v="114000"/>
  </r>
  <r>
    <x v="202"/>
    <x v="157"/>
    <x v="2"/>
    <x v="6"/>
    <x v="0"/>
    <x v="0"/>
    <x v="4"/>
    <n v="20000"/>
    <n v="0.05"/>
    <n v="57000"/>
  </r>
  <r>
    <x v="203"/>
    <x v="158"/>
    <x v="13"/>
    <x v="3"/>
    <x v="1"/>
    <x v="0"/>
    <x v="2"/>
    <n v="50000"/>
    <n v="0.1"/>
    <n v="90000"/>
  </r>
  <r>
    <x v="204"/>
    <x v="159"/>
    <x v="11"/>
    <x v="4"/>
    <x v="4"/>
    <x v="1"/>
    <x v="0"/>
    <n v="2000"/>
    <n v="0.05"/>
    <n v="1900"/>
  </r>
  <r>
    <x v="205"/>
    <x v="124"/>
    <x v="14"/>
    <x v="5"/>
    <x v="3"/>
    <x v="0"/>
    <x v="0"/>
    <n v="30000"/>
    <n v="0"/>
    <n v="30000"/>
  </r>
  <r>
    <x v="206"/>
    <x v="42"/>
    <x v="7"/>
    <x v="6"/>
    <x v="2"/>
    <x v="1"/>
    <x v="3"/>
    <n v="1500"/>
    <n v="0.1"/>
    <n v="5400"/>
  </r>
  <r>
    <x v="207"/>
    <x v="160"/>
    <x v="4"/>
    <x v="0"/>
    <x v="4"/>
    <x v="1"/>
    <x v="1"/>
    <n v="2000"/>
    <n v="0"/>
    <n v="10000"/>
  </r>
  <r>
    <x v="208"/>
    <x v="161"/>
    <x v="1"/>
    <x v="7"/>
    <x v="1"/>
    <x v="0"/>
    <x v="0"/>
    <n v="50000"/>
    <n v="0.1"/>
    <n v="45000"/>
  </r>
  <r>
    <x v="209"/>
    <x v="162"/>
    <x v="5"/>
    <x v="3"/>
    <x v="7"/>
    <x v="0"/>
    <x v="3"/>
    <n v="12000"/>
    <n v="0.1"/>
    <n v="43200"/>
  </r>
  <r>
    <x v="210"/>
    <x v="132"/>
    <x v="10"/>
    <x v="6"/>
    <x v="2"/>
    <x v="1"/>
    <x v="0"/>
    <n v="1500"/>
    <n v="0.1"/>
    <n v="1350"/>
  </r>
  <r>
    <x v="211"/>
    <x v="163"/>
    <x v="15"/>
    <x v="1"/>
    <x v="1"/>
    <x v="0"/>
    <x v="2"/>
    <n v="50000"/>
    <n v="0.15"/>
    <n v="85000"/>
  </r>
  <r>
    <x v="212"/>
    <x v="164"/>
    <x v="3"/>
    <x v="6"/>
    <x v="6"/>
    <x v="2"/>
    <x v="4"/>
    <n v="3000"/>
    <n v="0.05"/>
    <n v="8550"/>
  </r>
  <r>
    <x v="213"/>
    <x v="165"/>
    <x v="1"/>
    <x v="0"/>
    <x v="4"/>
    <x v="1"/>
    <x v="0"/>
    <n v="2000"/>
    <n v="0"/>
    <n v="2000"/>
  </r>
  <r>
    <x v="214"/>
    <x v="166"/>
    <x v="7"/>
    <x v="4"/>
    <x v="3"/>
    <x v="0"/>
    <x v="3"/>
    <n v="30000"/>
    <n v="0.05"/>
    <n v="114000"/>
  </r>
  <r>
    <x v="215"/>
    <x v="167"/>
    <x v="6"/>
    <x v="4"/>
    <x v="2"/>
    <x v="1"/>
    <x v="0"/>
    <n v="1500"/>
    <n v="0.15"/>
    <n v="1275"/>
  </r>
  <r>
    <x v="216"/>
    <x v="96"/>
    <x v="11"/>
    <x v="5"/>
    <x v="4"/>
    <x v="1"/>
    <x v="1"/>
    <n v="2000"/>
    <n v="0.15"/>
    <n v="8500"/>
  </r>
  <r>
    <x v="217"/>
    <x v="168"/>
    <x v="9"/>
    <x v="0"/>
    <x v="5"/>
    <x v="2"/>
    <x v="0"/>
    <n v="7000"/>
    <n v="0.15"/>
    <n v="5950"/>
  </r>
  <r>
    <x v="218"/>
    <x v="169"/>
    <x v="5"/>
    <x v="2"/>
    <x v="7"/>
    <x v="0"/>
    <x v="4"/>
    <n v="12000"/>
    <n v="0"/>
    <n v="36000"/>
  </r>
  <r>
    <x v="219"/>
    <x v="170"/>
    <x v="8"/>
    <x v="5"/>
    <x v="2"/>
    <x v="1"/>
    <x v="1"/>
    <n v="1500"/>
    <n v="0.15"/>
    <n v="6375"/>
  </r>
  <r>
    <x v="220"/>
    <x v="110"/>
    <x v="12"/>
    <x v="4"/>
    <x v="5"/>
    <x v="2"/>
    <x v="4"/>
    <n v="7000"/>
    <n v="0.05"/>
    <n v="19950"/>
  </r>
  <r>
    <x v="221"/>
    <x v="171"/>
    <x v="7"/>
    <x v="0"/>
    <x v="0"/>
    <x v="0"/>
    <x v="1"/>
    <n v="20000"/>
    <n v="0.05"/>
    <n v="95000"/>
  </r>
  <r>
    <x v="222"/>
    <x v="172"/>
    <x v="14"/>
    <x v="0"/>
    <x v="6"/>
    <x v="2"/>
    <x v="0"/>
    <n v="3000"/>
    <n v="0.05"/>
    <n v="2850"/>
  </r>
  <r>
    <x v="223"/>
    <x v="7"/>
    <x v="10"/>
    <x v="7"/>
    <x v="3"/>
    <x v="0"/>
    <x v="0"/>
    <n v="30000"/>
    <n v="0.05"/>
    <n v="28500"/>
  </r>
  <r>
    <x v="224"/>
    <x v="7"/>
    <x v="9"/>
    <x v="0"/>
    <x v="7"/>
    <x v="0"/>
    <x v="1"/>
    <n v="12000"/>
    <n v="0.1"/>
    <n v="54000"/>
  </r>
  <r>
    <x v="225"/>
    <x v="161"/>
    <x v="13"/>
    <x v="6"/>
    <x v="7"/>
    <x v="0"/>
    <x v="0"/>
    <n v="12000"/>
    <n v="0.15"/>
    <n v="10200"/>
  </r>
  <r>
    <x v="226"/>
    <x v="173"/>
    <x v="6"/>
    <x v="7"/>
    <x v="1"/>
    <x v="0"/>
    <x v="4"/>
    <n v="50000"/>
    <n v="0"/>
    <n v="150000"/>
  </r>
  <r>
    <x v="227"/>
    <x v="174"/>
    <x v="8"/>
    <x v="4"/>
    <x v="1"/>
    <x v="0"/>
    <x v="0"/>
    <n v="50000"/>
    <n v="0.1"/>
    <n v="45000"/>
  </r>
  <r>
    <x v="228"/>
    <x v="88"/>
    <x v="14"/>
    <x v="3"/>
    <x v="2"/>
    <x v="1"/>
    <x v="3"/>
    <n v="1500"/>
    <n v="0"/>
    <n v="6000"/>
  </r>
  <r>
    <x v="229"/>
    <x v="149"/>
    <x v="6"/>
    <x v="4"/>
    <x v="7"/>
    <x v="0"/>
    <x v="1"/>
    <n v="12000"/>
    <n v="0.05"/>
    <n v="57000"/>
  </r>
  <r>
    <x v="230"/>
    <x v="175"/>
    <x v="0"/>
    <x v="7"/>
    <x v="4"/>
    <x v="1"/>
    <x v="0"/>
    <n v="2000"/>
    <n v="0.05"/>
    <n v="1900"/>
  </r>
  <r>
    <x v="231"/>
    <x v="50"/>
    <x v="7"/>
    <x v="6"/>
    <x v="7"/>
    <x v="0"/>
    <x v="1"/>
    <n v="12000"/>
    <n v="0.05"/>
    <n v="57000"/>
  </r>
  <r>
    <x v="232"/>
    <x v="132"/>
    <x v="15"/>
    <x v="3"/>
    <x v="2"/>
    <x v="1"/>
    <x v="3"/>
    <n v="1500"/>
    <n v="0.1"/>
    <n v="5400"/>
  </r>
  <r>
    <x v="233"/>
    <x v="176"/>
    <x v="11"/>
    <x v="6"/>
    <x v="0"/>
    <x v="0"/>
    <x v="4"/>
    <n v="20000"/>
    <n v="0"/>
    <n v="60000"/>
  </r>
  <r>
    <x v="234"/>
    <x v="110"/>
    <x v="8"/>
    <x v="0"/>
    <x v="5"/>
    <x v="2"/>
    <x v="1"/>
    <n v="7000"/>
    <n v="0.05"/>
    <n v="33250"/>
  </r>
  <r>
    <x v="235"/>
    <x v="47"/>
    <x v="8"/>
    <x v="6"/>
    <x v="4"/>
    <x v="1"/>
    <x v="4"/>
    <n v="2000"/>
    <n v="0.15"/>
    <n v="5100"/>
  </r>
  <r>
    <x v="236"/>
    <x v="10"/>
    <x v="8"/>
    <x v="5"/>
    <x v="2"/>
    <x v="1"/>
    <x v="4"/>
    <n v="1500"/>
    <n v="0.05"/>
    <n v="4275"/>
  </r>
  <r>
    <x v="237"/>
    <x v="173"/>
    <x v="12"/>
    <x v="2"/>
    <x v="4"/>
    <x v="1"/>
    <x v="0"/>
    <n v="2000"/>
    <n v="0.1"/>
    <n v="1800"/>
  </r>
  <r>
    <x v="238"/>
    <x v="177"/>
    <x v="4"/>
    <x v="0"/>
    <x v="4"/>
    <x v="1"/>
    <x v="3"/>
    <n v="2000"/>
    <n v="0.05"/>
    <n v="7600"/>
  </r>
  <r>
    <x v="239"/>
    <x v="21"/>
    <x v="15"/>
    <x v="3"/>
    <x v="0"/>
    <x v="0"/>
    <x v="4"/>
    <n v="20000"/>
    <n v="0"/>
    <n v="60000"/>
  </r>
  <r>
    <x v="240"/>
    <x v="178"/>
    <x v="12"/>
    <x v="0"/>
    <x v="3"/>
    <x v="0"/>
    <x v="1"/>
    <n v="30000"/>
    <n v="0.15"/>
    <n v="127500"/>
  </r>
  <r>
    <x v="241"/>
    <x v="179"/>
    <x v="7"/>
    <x v="2"/>
    <x v="3"/>
    <x v="0"/>
    <x v="3"/>
    <n v="30000"/>
    <n v="0"/>
    <n v="120000"/>
  </r>
  <r>
    <x v="242"/>
    <x v="180"/>
    <x v="0"/>
    <x v="2"/>
    <x v="7"/>
    <x v="0"/>
    <x v="1"/>
    <n v="12000"/>
    <n v="0.1"/>
    <n v="54000"/>
  </r>
  <r>
    <x v="243"/>
    <x v="181"/>
    <x v="6"/>
    <x v="7"/>
    <x v="5"/>
    <x v="2"/>
    <x v="3"/>
    <n v="7000"/>
    <n v="0.05"/>
    <n v="26600"/>
  </r>
  <r>
    <x v="244"/>
    <x v="22"/>
    <x v="14"/>
    <x v="0"/>
    <x v="5"/>
    <x v="2"/>
    <x v="3"/>
    <n v="7000"/>
    <n v="0.15"/>
    <n v="23800"/>
  </r>
  <r>
    <x v="245"/>
    <x v="182"/>
    <x v="5"/>
    <x v="4"/>
    <x v="5"/>
    <x v="2"/>
    <x v="0"/>
    <n v="7000"/>
    <n v="0.15"/>
    <n v="5950"/>
  </r>
  <r>
    <x v="246"/>
    <x v="78"/>
    <x v="6"/>
    <x v="0"/>
    <x v="5"/>
    <x v="2"/>
    <x v="0"/>
    <n v="7000"/>
    <n v="0.05"/>
    <n v="6650"/>
  </r>
  <r>
    <x v="247"/>
    <x v="88"/>
    <x v="7"/>
    <x v="1"/>
    <x v="2"/>
    <x v="1"/>
    <x v="0"/>
    <n v="1500"/>
    <n v="0.05"/>
    <n v="1425"/>
  </r>
  <r>
    <x v="248"/>
    <x v="183"/>
    <x v="7"/>
    <x v="2"/>
    <x v="2"/>
    <x v="1"/>
    <x v="0"/>
    <n v="1500"/>
    <n v="0.15"/>
    <n v="1275"/>
  </r>
  <r>
    <x v="249"/>
    <x v="55"/>
    <x v="2"/>
    <x v="3"/>
    <x v="2"/>
    <x v="1"/>
    <x v="0"/>
    <n v="1500"/>
    <n v="0.1"/>
    <n v="1350"/>
  </r>
  <r>
    <x v="250"/>
    <x v="164"/>
    <x v="15"/>
    <x v="6"/>
    <x v="0"/>
    <x v="0"/>
    <x v="4"/>
    <n v="20000"/>
    <n v="0.05"/>
    <n v="57000"/>
  </r>
  <r>
    <x v="251"/>
    <x v="180"/>
    <x v="2"/>
    <x v="4"/>
    <x v="7"/>
    <x v="0"/>
    <x v="2"/>
    <n v="12000"/>
    <n v="0.15"/>
    <n v="20400"/>
  </r>
  <r>
    <x v="252"/>
    <x v="118"/>
    <x v="1"/>
    <x v="4"/>
    <x v="1"/>
    <x v="0"/>
    <x v="4"/>
    <n v="50000"/>
    <n v="0.05"/>
    <n v="142500"/>
  </r>
  <r>
    <x v="253"/>
    <x v="184"/>
    <x v="15"/>
    <x v="2"/>
    <x v="5"/>
    <x v="2"/>
    <x v="2"/>
    <n v="7000"/>
    <n v="0.1"/>
    <n v="12600"/>
  </r>
  <r>
    <x v="254"/>
    <x v="147"/>
    <x v="5"/>
    <x v="7"/>
    <x v="2"/>
    <x v="1"/>
    <x v="1"/>
    <n v="1500"/>
    <n v="0.15"/>
    <n v="6375"/>
  </r>
  <r>
    <x v="255"/>
    <x v="159"/>
    <x v="13"/>
    <x v="5"/>
    <x v="1"/>
    <x v="0"/>
    <x v="1"/>
    <n v="50000"/>
    <n v="0.05"/>
    <n v="237500"/>
  </r>
  <r>
    <x v="256"/>
    <x v="185"/>
    <x v="1"/>
    <x v="0"/>
    <x v="1"/>
    <x v="0"/>
    <x v="1"/>
    <n v="50000"/>
    <n v="0.1"/>
    <n v="225000"/>
  </r>
  <r>
    <x v="257"/>
    <x v="186"/>
    <x v="2"/>
    <x v="5"/>
    <x v="0"/>
    <x v="0"/>
    <x v="1"/>
    <n v="20000"/>
    <n v="0.1"/>
    <n v="90000"/>
  </r>
  <r>
    <x v="258"/>
    <x v="187"/>
    <x v="3"/>
    <x v="1"/>
    <x v="7"/>
    <x v="0"/>
    <x v="0"/>
    <n v="12000"/>
    <n v="0.15"/>
    <n v="10200"/>
  </r>
  <r>
    <x v="259"/>
    <x v="185"/>
    <x v="5"/>
    <x v="3"/>
    <x v="4"/>
    <x v="1"/>
    <x v="0"/>
    <n v="2000"/>
    <n v="0.1"/>
    <n v="1800"/>
  </r>
  <r>
    <x v="260"/>
    <x v="188"/>
    <x v="9"/>
    <x v="0"/>
    <x v="3"/>
    <x v="0"/>
    <x v="0"/>
    <n v="30000"/>
    <n v="0.1"/>
    <n v="27000"/>
  </r>
  <r>
    <x v="261"/>
    <x v="189"/>
    <x v="8"/>
    <x v="7"/>
    <x v="7"/>
    <x v="0"/>
    <x v="3"/>
    <n v="12000"/>
    <n v="0.05"/>
    <n v="45600"/>
  </r>
  <r>
    <x v="262"/>
    <x v="6"/>
    <x v="14"/>
    <x v="1"/>
    <x v="1"/>
    <x v="0"/>
    <x v="4"/>
    <n v="50000"/>
    <n v="0.05"/>
    <n v="142500"/>
  </r>
  <r>
    <x v="263"/>
    <x v="190"/>
    <x v="10"/>
    <x v="6"/>
    <x v="4"/>
    <x v="1"/>
    <x v="4"/>
    <n v="2000"/>
    <n v="0.15"/>
    <n v="5100"/>
  </r>
  <r>
    <x v="264"/>
    <x v="191"/>
    <x v="15"/>
    <x v="3"/>
    <x v="1"/>
    <x v="0"/>
    <x v="2"/>
    <n v="50000"/>
    <n v="0.1"/>
    <n v="90000"/>
  </r>
  <r>
    <x v="265"/>
    <x v="169"/>
    <x v="11"/>
    <x v="7"/>
    <x v="5"/>
    <x v="2"/>
    <x v="0"/>
    <n v="7000"/>
    <n v="0.1"/>
    <n v="6300"/>
  </r>
  <r>
    <x v="266"/>
    <x v="165"/>
    <x v="10"/>
    <x v="3"/>
    <x v="2"/>
    <x v="1"/>
    <x v="4"/>
    <n v="1500"/>
    <n v="0.05"/>
    <n v="4275"/>
  </r>
  <r>
    <x v="267"/>
    <x v="192"/>
    <x v="1"/>
    <x v="0"/>
    <x v="5"/>
    <x v="2"/>
    <x v="0"/>
    <n v="7000"/>
    <n v="0.15"/>
    <n v="5950"/>
  </r>
  <r>
    <x v="268"/>
    <x v="192"/>
    <x v="9"/>
    <x v="6"/>
    <x v="5"/>
    <x v="2"/>
    <x v="4"/>
    <n v="7000"/>
    <n v="0"/>
    <n v="21000"/>
  </r>
  <r>
    <x v="269"/>
    <x v="33"/>
    <x v="6"/>
    <x v="3"/>
    <x v="5"/>
    <x v="2"/>
    <x v="3"/>
    <n v="7000"/>
    <n v="0.15"/>
    <n v="23800"/>
  </r>
  <r>
    <x v="270"/>
    <x v="193"/>
    <x v="1"/>
    <x v="6"/>
    <x v="7"/>
    <x v="0"/>
    <x v="0"/>
    <n v="12000"/>
    <n v="0.1"/>
    <n v="10800"/>
  </r>
  <r>
    <x v="271"/>
    <x v="50"/>
    <x v="12"/>
    <x v="1"/>
    <x v="1"/>
    <x v="0"/>
    <x v="0"/>
    <n v="50000"/>
    <n v="0.15"/>
    <n v="42500"/>
  </r>
  <r>
    <x v="272"/>
    <x v="133"/>
    <x v="4"/>
    <x v="4"/>
    <x v="3"/>
    <x v="0"/>
    <x v="1"/>
    <n v="30000"/>
    <n v="0.15"/>
    <n v="127500"/>
  </r>
  <r>
    <x v="273"/>
    <x v="116"/>
    <x v="15"/>
    <x v="0"/>
    <x v="6"/>
    <x v="2"/>
    <x v="4"/>
    <n v="3000"/>
    <n v="0.1"/>
    <n v="8100"/>
  </r>
  <r>
    <x v="274"/>
    <x v="194"/>
    <x v="8"/>
    <x v="0"/>
    <x v="7"/>
    <x v="0"/>
    <x v="4"/>
    <n v="12000"/>
    <n v="0.1"/>
    <n v="32400"/>
  </r>
  <r>
    <x v="275"/>
    <x v="139"/>
    <x v="3"/>
    <x v="2"/>
    <x v="4"/>
    <x v="1"/>
    <x v="3"/>
    <n v="2000"/>
    <n v="0.1"/>
    <n v="7200"/>
  </r>
  <r>
    <x v="276"/>
    <x v="195"/>
    <x v="11"/>
    <x v="4"/>
    <x v="0"/>
    <x v="0"/>
    <x v="0"/>
    <n v="20000"/>
    <n v="0.05"/>
    <n v="19000"/>
  </r>
  <r>
    <x v="277"/>
    <x v="196"/>
    <x v="13"/>
    <x v="7"/>
    <x v="5"/>
    <x v="2"/>
    <x v="4"/>
    <n v="7000"/>
    <n v="0.15"/>
    <n v="17850"/>
  </r>
  <r>
    <x v="278"/>
    <x v="197"/>
    <x v="6"/>
    <x v="0"/>
    <x v="6"/>
    <x v="2"/>
    <x v="0"/>
    <n v="3000"/>
    <n v="0.05"/>
    <n v="2850"/>
  </r>
  <r>
    <x v="279"/>
    <x v="61"/>
    <x v="7"/>
    <x v="4"/>
    <x v="7"/>
    <x v="0"/>
    <x v="0"/>
    <n v="12000"/>
    <n v="0.1"/>
    <n v="10800"/>
  </r>
  <r>
    <x v="280"/>
    <x v="150"/>
    <x v="12"/>
    <x v="3"/>
    <x v="5"/>
    <x v="2"/>
    <x v="4"/>
    <n v="7000"/>
    <n v="0.05"/>
    <n v="19950"/>
  </r>
  <r>
    <x v="281"/>
    <x v="15"/>
    <x v="0"/>
    <x v="7"/>
    <x v="6"/>
    <x v="2"/>
    <x v="0"/>
    <n v="3000"/>
    <n v="0.05"/>
    <n v="2850"/>
  </r>
  <r>
    <x v="282"/>
    <x v="198"/>
    <x v="4"/>
    <x v="4"/>
    <x v="1"/>
    <x v="0"/>
    <x v="4"/>
    <n v="50000"/>
    <n v="0.1"/>
    <n v="135000"/>
  </r>
  <r>
    <x v="283"/>
    <x v="199"/>
    <x v="1"/>
    <x v="5"/>
    <x v="0"/>
    <x v="0"/>
    <x v="4"/>
    <n v="20000"/>
    <n v="0.15"/>
    <n v="51000"/>
  </r>
  <r>
    <x v="284"/>
    <x v="144"/>
    <x v="8"/>
    <x v="7"/>
    <x v="0"/>
    <x v="0"/>
    <x v="2"/>
    <n v="20000"/>
    <n v="0.1"/>
    <n v="36000"/>
  </r>
  <r>
    <x v="285"/>
    <x v="200"/>
    <x v="12"/>
    <x v="0"/>
    <x v="7"/>
    <x v="0"/>
    <x v="1"/>
    <n v="12000"/>
    <n v="0.1"/>
    <n v="54000"/>
  </r>
  <r>
    <x v="286"/>
    <x v="201"/>
    <x v="4"/>
    <x v="6"/>
    <x v="2"/>
    <x v="1"/>
    <x v="1"/>
    <n v="1500"/>
    <n v="0"/>
    <n v="7500"/>
  </r>
  <r>
    <x v="287"/>
    <x v="202"/>
    <x v="0"/>
    <x v="3"/>
    <x v="3"/>
    <x v="0"/>
    <x v="2"/>
    <n v="30000"/>
    <n v="0.1"/>
    <n v="54000"/>
  </r>
  <r>
    <x v="288"/>
    <x v="203"/>
    <x v="3"/>
    <x v="0"/>
    <x v="5"/>
    <x v="2"/>
    <x v="0"/>
    <n v="7000"/>
    <n v="0.1"/>
    <n v="6300"/>
  </r>
  <r>
    <x v="289"/>
    <x v="183"/>
    <x v="12"/>
    <x v="0"/>
    <x v="5"/>
    <x v="2"/>
    <x v="1"/>
    <n v="7000"/>
    <n v="0"/>
    <n v="35000"/>
  </r>
  <r>
    <x v="290"/>
    <x v="98"/>
    <x v="15"/>
    <x v="1"/>
    <x v="3"/>
    <x v="0"/>
    <x v="1"/>
    <n v="30000"/>
    <n v="0.1"/>
    <n v="135000"/>
  </r>
  <r>
    <x v="291"/>
    <x v="204"/>
    <x v="14"/>
    <x v="5"/>
    <x v="0"/>
    <x v="0"/>
    <x v="0"/>
    <n v="20000"/>
    <n v="0.1"/>
    <n v="18000"/>
  </r>
  <r>
    <x v="292"/>
    <x v="144"/>
    <x v="13"/>
    <x v="7"/>
    <x v="1"/>
    <x v="0"/>
    <x v="3"/>
    <n v="50000"/>
    <n v="0.1"/>
    <n v="180000"/>
  </r>
  <r>
    <x v="293"/>
    <x v="9"/>
    <x v="8"/>
    <x v="1"/>
    <x v="6"/>
    <x v="2"/>
    <x v="3"/>
    <n v="3000"/>
    <n v="0.1"/>
    <n v="10800"/>
  </r>
  <r>
    <x v="294"/>
    <x v="205"/>
    <x v="6"/>
    <x v="2"/>
    <x v="3"/>
    <x v="0"/>
    <x v="3"/>
    <n v="30000"/>
    <n v="0.15"/>
    <n v="102000"/>
  </r>
  <r>
    <x v="295"/>
    <x v="206"/>
    <x v="9"/>
    <x v="3"/>
    <x v="4"/>
    <x v="1"/>
    <x v="1"/>
    <n v="2000"/>
    <n v="0.05"/>
    <n v="9500"/>
  </r>
  <r>
    <x v="296"/>
    <x v="207"/>
    <x v="5"/>
    <x v="3"/>
    <x v="2"/>
    <x v="1"/>
    <x v="2"/>
    <n v="1500"/>
    <n v="0.1"/>
    <n v="2700"/>
  </r>
  <r>
    <x v="297"/>
    <x v="53"/>
    <x v="6"/>
    <x v="2"/>
    <x v="6"/>
    <x v="2"/>
    <x v="3"/>
    <n v="3000"/>
    <n v="0"/>
    <n v="12000"/>
  </r>
  <r>
    <x v="298"/>
    <x v="8"/>
    <x v="11"/>
    <x v="5"/>
    <x v="3"/>
    <x v="0"/>
    <x v="0"/>
    <n v="30000"/>
    <n v="0"/>
    <n v="30000"/>
  </r>
  <r>
    <x v="299"/>
    <x v="208"/>
    <x v="9"/>
    <x v="2"/>
    <x v="6"/>
    <x v="2"/>
    <x v="2"/>
    <n v="3000"/>
    <n v="0.1"/>
    <n v="5400"/>
  </r>
  <r>
    <x v="300"/>
    <x v="195"/>
    <x v="13"/>
    <x v="7"/>
    <x v="3"/>
    <x v="0"/>
    <x v="3"/>
    <n v="30000"/>
    <n v="0.15"/>
    <n v="102000"/>
  </r>
  <r>
    <x v="301"/>
    <x v="209"/>
    <x v="6"/>
    <x v="2"/>
    <x v="1"/>
    <x v="0"/>
    <x v="0"/>
    <n v="50000"/>
    <n v="0.15"/>
    <n v="42500"/>
  </r>
  <r>
    <x v="302"/>
    <x v="210"/>
    <x v="15"/>
    <x v="6"/>
    <x v="6"/>
    <x v="2"/>
    <x v="1"/>
    <n v="3000"/>
    <n v="0.1"/>
    <n v="13500"/>
  </r>
  <r>
    <x v="303"/>
    <x v="174"/>
    <x v="2"/>
    <x v="4"/>
    <x v="7"/>
    <x v="0"/>
    <x v="1"/>
    <n v="12000"/>
    <n v="0.15"/>
    <n v="51000"/>
  </r>
  <r>
    <x v="304"/>
    <x v="211"/>
    <x v="11"/>
    <x v="3"/>
    <x v="2"/>
    <x v="1"/>
    <x v="2"/>
    <n v="1500"/>
    <n v="0.1"/>
    <n v="2700"/>
  </r>
  <r>
    <x v="305"/>
    <x v="38"/>
    <x v="14"/>
    <x v="3"/>
    <x v="1"/>
    <x v="0"/>
    <x v="3"/>
    <n v="50000"/>
    <n v="0"/>
    <n v="200000"/>
  </r>
  <r>
    <x v="306"/>
    <x v="209"/>
    <x v="6"/>
    <x v="6"/>
    <x v="5"/>
    <x v="2"/>
    <x v="0"/>
    <n v="7000"/>
    <n v="0.15"/>
    <n v="5950"/>
  </r>
  <r>
    <x v="307"/>
    <x v="80"/>
    <x v="7"/>
    <x v="3"/>
    <x v="0"/>
    <x v="0"/>
    <x v="2"/>
    <n v="20000"/>
    <n v="0"/>
    <n v="40000"/>
  </r>
  <r>
    <x v="308"/>
    <x v="212"/>
    <x v="11"/>
    <x v="1"/>
    <x v="4"/>
    <x v="1"/>
    <x v="2"/>
    <n v="2000"/>
    <n v="0.05"/>
    <n v="3800"/>
  </r>
  <r>
    <x v="309"/>
    <x v="110"/>
    <x v="10"/>
    <x v="7"/>
    <x v="1"/>
    <x v="0"/>
    <x v="0"/>
    <n v="50000"/>
    <n v="0.05"/>
    <n v="47500"/>
  </r>
  <r>
    <x v="310"/>
    <x v="213"/>
    <x v="9"/>
    <x v="0"/>
    <x v="3"/>
    <x v="0"/>
    <x v="1"/>
    <n v="30000"/>
    <n v="0.05"/>
    <n v="142500"/>
  </r>
  <r>
    <x v="311"/>
    <x v="87"/>
    <x v="9"/>
    <x v="7"/>
    <x v="2"/>
    <x v="1"/>
    <x v="1"/>
    <n v="1500"/>
    <n v="0.1"/>
    <n v="6750"/>
  </r>
  <r>
    <x v="312"/>
    <x v="181"/>
    <x v="9"/>
    <x v="4"/>
    <x v="5"/>
    <x v="2"/>
    <x v="3"/>
    <n v="7000"/>
    <n v="0"/>
    <n v="28000"/>
  </r>
  <r>
    <x v="313"/>
    <x v="101"/>
    <x v="2"/>
    <x v="7"/>
    <x v="2"/>
    <x v="1"/>
    <x v="1"/>
    <n v="1500"/>
    <n v="0.1"/>
    <n v="6750"/>
  </r>
  <r>
    <x v="314"/>
    <x v="160"/>
    <x v="10"/>
    <x v="0"/>
    <x v="5"/>
    <x v="2"/>
    <x v="1"/>
    <n v="7000"/>
    <n v="0.05"/>
    <n v="33250"/>
  </r>
  <r>
    <x v="315"/>
    <x v="214"/>
    <x v="5"/>
    <x v="2"/>
    <x v="2"/>
    <x v="1"/>
    <x v="2"/>
    <n v="1500"/>
    <n v="0.05"/>
    <n v="2850"/>
  </r>
  <r>
    <x v="316"/>
    <x v="215"/>
    <x v="4"/>
    <x v="5"/>
    <x v="1"/>
    <x v="0"/>
    <x v="3"/>
    <n v="50000"/>
    <n v="0.1"/>
    <n v="180000"/>
  </r>
  <r>
    <x v="317"/>
    <x v="149"/>
    <x v="4"/>
    <x v="2"/>
    <x v="6"/>
    <x v="2"/>
    <x v="3"/>
    <n v="3000"/>
    <n v="0.15"/>
    <n v="10200"/>
  </r>
  <r>
    <x v="318"/>
    <x v="206"/>
    <x v="12"/>
    <x v="7"/>
    <x v="4"/>
    <x v="1"/>
    <x v="3"/>
    <n v="2000"/>
    <n v="0.15"/>
    <n v="6800"/>
  </r>
  <r>
    <x v="319"/>
    <x v="135"/>
    <x v="3"/>
    <x v="7"/>
    <x v="4"/>
    <x v="1"/>
    <x v="1"/>
    <n v="2000"/>
    <n v="0.1"/>
    <n v="9000"/>
  </r>
  <r>
    <x v="320"/>
    <x v="176"/>
    <x v="13"/>
    <x v="2"/>
    <x v="6"/>
    <x v="2"/>
    <x v="2"/>
    <n v="3000"/>
    <n v="0.1"/>
    <n v="5400"/>
  </r>
  <r>
    <x v="321"/>
    <x v="142"/>
    <x v="10"/>
    <x v="3"/>
    <x v="5"/>
    <x v="2"/>
    <x v="4"/>
    <n v="7000"/>
    <n v="0.05"/>
    <n v="19950"/>
  </r>
  <r>
    <x v="322"/>
    <x v="216"/>
    <x v="5"/>
    <x v="5"/>
    <x v="7"/>
    <x v="0"/>
    <x v="4"/>
    <n v="12000"/>
    <n v="0.1"/>
    <n v="32400"/>
  </r>
  <r>
    <x v="323"/>
    <x v="8"/>
    <x v="15"/>
    <x v="6"/>
    <x v="2"/>
    <x v="1"/>
    <x v="4"/>
    <n v="1500"/>
    <n v="0.05"/>
    <n v="4275"/>
  </r>
  <r>
    <x v="324"/>
    <x v="217"/>
    <x v="3"/>
    <x v="7"/>
    <x v="0"/>
    <x v="0"/>
    <x v="4"/>
    <n v="20000"/>
    <n v="0.15"/>
    <n v="51000"/>
  </r>
  <r>
    <x v="325"/>
    <x v="48"/>
    <x v="3"/>
    <x v="0"/>
    <x v="6"/>
    <x v="2"/>
    <x v="2"/>
    <n v="3000"/>
    <n v="0.1"/>
    <n v="5400"/>
  </r>
  <r>
    <x v="326"/>
    <x v="28"/>
    <x v="15"/>
    <x v="2"/>
    <x v="0"/>
    <x v="0"/>
    <x v="1"/>
    <n v="20000"/>
    <n v="0.05"/>
    <n v="95000"/>
  </r>
  <r>
    <x v="327"/>
    <x v="52"/>
    <x v="9"/>
    <x v="7"/>
    <x v="6"/>
    <x v="2"/>
    <x v="0"/>
    <n v="3000"/>
    <n v="0"/>
    <n v="3000"/>
  </r>
  <r>
    <x v="328"/>
    <x v="24"/>
    <x v="12"/>
    <x v="5"/>
    <x v="0"/>
    <x v="0"/>
    <x v="2"/>
    <n v="20000"/>
    <n v="0"/>
    <n v="40000"/>
  </r>
  <r>
    <x v="329"/>
    <x v="216"/>
    <x v="9"/>
    <x v="6"/>
    <x v="7"/>
    <x v="0"/>
    <x v="3"/>
    <n v="12000"/>
    <n v="0.05"/>
    <n v="45600"/>
  </r>
  <r>
    <x v="330"/>
    <x v="218"/>
    <x v="15"/>
    <x v="0"/>
    <x v="1"/>
    <x v="0"/>
    <x v="0"/>
    <n v="50000"/>
    <n v="0.05"/>
    <n v="47500"/>
  </r>
  <r>
    <x v="331"/>
    <x v="219"/>
    <x v="10"/>
    <x v="0"/>
    <x v="2"/>
    <x v="1"/>
    <x v="2"/>
    <n v="1500"/>
    <n v="0"/>
    <n v="3000"/>
  </r>
  <r>
    <x v="332"/>
    <x v="77"/>
    <x v="5"/>
    <x v="3"/>
    <x v="5"/>
    <x v="2"/>
    <x v="0"/>
    <n v="7000"/>
    <n v="0"/>
    <n v="7000"/>
  </r>
  <r>
    <x v="333"/>
    <x v="69"/>
    <x v="6"/>
    <x v="6"/>
    <x v="5"/>
    <x v="2"/>
    <x v="3"/>
    <n v="7000"/>
    <n v="0.15"/>
    <n v="23800"/>
  </r>
  <r>
    <x v="334"/>
    <x v="11"/>
    <x v="6"/>
    <x v="6"/>
    <x v="6"/>
    <x v="2"/>
    <x v="0"/>
    <n v="3000"/>
    <n v="0.1"/>
    <n v="2700"/>
  </r>
  <r>
    <x v="335"/>
    <x v="35"/>
    <x v="14"/>
    <x v="0"/>
    <x v="3"/>
    <x v="0"/>
    <x v="0"/>
    <n v="30000"/>
    <n v="0.1"/>
    <n v="27000"/>
  </r>
  <r>
    <x v="336"/>
    <x v="220"/>
    <x v="11"/>
    <x v="4"/>
    <x v="2"/>
    <x v="1"/>
    <x v="3"/>
    <n v="1500"/>
    <n v="0.1"/>
    <n v="5400"/>
  </r>
  <r>
    <x v="337"/>
    <x v="221"/>
    <x v="0"/>
    <x v="1"/>
    <x v="3"/>
    <x v="0"/>
    <x v="2"/>
    <n v="30000"/>
    <n v="0.15"/>
    <n v="51000"/>
  </r>
  <r>
    <x v="338"/>
    <x v="222"/>
    <x v="3"/>
    <x v="3"/>
    <x v="5"/>
    <x v="2"/>
    <x v="3"/>
    <n v="7000"/>
    <n v="0.05"/>
    <n v="26600"/>
  </r>
  <r>
    <x v="339"/>
    <x v="39"/>
    <x v="7"/>
    <x v="2"/>
    <x v="5"/>
    <x v="2"/>
    <x v="1"/>
    <n v="7000"/>
    <n v="0"/>
    <n v="35000"/>
  </r>
  <r>
    <x v="340"/>
    <x v="223"/>
    <x v="12"/>
    <x v="5"/>
    <x v="1"/>
    <x v="0"/>
    <x v="0"/>
    <n v="50000"/>
    <n v="0.15"/>
    <n v="42500"/>
  </r>
  <r>
    <x v="341"/>
    <x v="181"/>
    <x v="0"/>
    <x v="2"/>
    <x v="5"/>
    <x v="2"/>
    <x v="0"/>
    <n v="7000"/>
    <n v="0.1"/>
    <n v="6300"/>
  </r>
  <r>
    <x v="342"/>
    <x v="9"/>
    <x v="7"/>
    <x v="5"/>
    <x v="3"/>
    <x v="0"/>
    <x v="3"/>
    <n v="30000"/>
    <n v="0.05"/>
    <n v="114000"/>
  </r>
  <r>
    <x v="343"/>
    <x v="71"/>
    <x v="8"/>
    <x v="7"/>
    <x v="7"/>
    <x v="0"/>
    <x v="1"/>
    <n v="12000"/>
    <n v="0.05"/>
    <n v="57000"/>
  </r>
  <r>
    <x v="344"/>
    <x v="149"/>
    <x v="14"/>
    <x v="0"/>
    <x v="4"/>
    <x v="1"/>
    <x v="0"/>
    <n v="2000"/>
    <n v="0"/>
    <n v="2000"/>
  </r>
  <r>
    <x v="345"/>
    <x v="224"/>
    <x v="14"/>
    <x v="7"/>
    <x v="3"/>
    <x v="0"/>
    <x v="4"/>
    <n v="30000"/>
    <n v="0.15"/>
    <n v="76500"/>
  </r>
  <r>
    <x v="346"/>
    <x v="225"/>
    <x v="6"/>
    <x v="0"/>
    <x v="0"/>
    <x v="0"/>
    <x v="1"/>
    <n v="20000"/>
    <n v="0.15"/>
    <n v="85000"/>
  </r>
  <r>
    <x v="347"/>
    <x v="226"/>
    <x v="6"/>
    <x v="6"/>
    <x v="2"/>
    <x v="1"/>
    <x v="3"/>
    <n v="1500"/>
    <n v="0"/>
    <n v="6000"/>
  </r>
  <r>
    <x v="348"/>
    <x v="227"/>
    <x v="14"/>
    <x v="4"/>
    <x v="1"/>
    <x v="0"/>
    <x v="3"/>
    <n v="50000"/>
    <n v="0.1"/>
    <n v="180000"/>
  </r>
  <r>
    <x v="349"/>
    <x v="228"/>
    <x v="8"/>
    <x v="1"/>
    <x v="1"/>
    <x v="0"/>
    <x v="3"/>
    <n v="50000"/>
    <n v="0.1"/>
    <n v="180000"/>
  </r>
  <r>
    <x v="350"/>
    <x v="174"/>
    <x v="1"/>
    <x v="0"/>
    <x v="0"/>
    <x v="0"/>
    <x v="3"/>
    <n v="20000"/>
    <n v="0"/>
    <n v="80000"/>
  </r>
  <r>
    <x v="351"/>
    <x v="229"/>
    <x v="6"/>
    <x v="5"/>
    <x v="3"/>
    <x v="0"/>
    <x v="3"/>
    <n v="30000"/>
    <n v="0.1"/>
    <n v="108000"/>
  </r>
  <r>
    <x v="352"/>
    <x v="230"/>
    <x v="7"/>
    <x v="4"/>
    <x v="2"/>
    <x v="1"/>
    <x v="0"/>
    <n v="1500"/>
    <n v="0.05"/>
    <n v="1425"/>
  </r>
  <r>
    <x v="353"/>
    <x v="231"/>
    <x v="4"/>
    <x v="2"/>
    <x v="3"/>
    <x v="0"/>
    <x v="1"/>
    <n v="30000"/>
    <n v="0.15"/>
    <n v="127500"/>
  </r>
  <r>
    <x v="354"/>
    <x v="232"/>
    <x v="1"/>
    <x v="5"/>
    <x v="1"/>
    <x v="0"/>
    <x v="0"/>
    <n v="50000"/>
    <n v="0.1"/>
    <n v="45000"/>
  </r>
  <r>
    <x v="355"/>
    <x v="233"/>
    <x v="4"/>
    <x v="6"/>
    <x v="6"/>
    <x v="2"/>
    <x v="2"/>
    <n v="3000"/>
    <n v="0.15"/>
    <n v="5100"/>
  </r>
  <r>
    <x v="356"/>
    <x v="85"/>
    <x v="1"/>
    <x v="1"/>
    <x v="6"/>
    <x v="2"/>
    <x v="0"/>
    <n v="3000"/>
    <n v="0"/>
    <n v="3000"/>
  </r>
  <r>
    <x v="357"/>
    <x v="94"/>
    <x v="15"/>
    <x v="7"/>
    <x v="6"/>
    <x v="2"/>
    <x v="2"/>
    <n v="3000"/>
    <n v="0"/>
    <n v="6000"/>
  </r>
  <r>
    <x v="358"/>
    <x v="13"/>
    <x v="6"/>
    <x v="2"/>
    <x v="1"/>
    <x v="0"/>
    <x v="2"/>
    <n v="50000"/>
    <n v="0"/>
    <n v="100000"/>
  </r>
  <r>
    <x v="359"/>
    <x v="183"/>
    <x v="13"/>
    <x v="2"/>
    <x v="6"/>
    <x v="2"/>
    <x v="0"/>
    <n v="3000"/>
    <n v="0.05"/>
    <n v="2850"/>
  </r>
  <r>
    <x v="360"/>
    <x v="234"/>
    <x v="13"/>
    <x v="0"/>
    <x v="4"/>
    <x v="1"/>
    <x v="1"/>
    <n v="2000"/>
    <n v="0.1"/>
    <n v="9000"/>
  </r>
  <r>
    <x v="361"/>
    <x v="131"/>
    <x v="15"/>
    <x v="0"/>
    <x v="6"/>
    <x v="2"/>
    <x v="3"/>
    <n v="3000"/>
    <n v="0.1"/>
    <n v="10800"/>
  </r>
  <r>
    <x v="362"/>
    <x v="210"/>
    <x v="7"/>
    <x v="5"/>
    <x v="2"/>
    <x v="1"/>
    <x v="1"/>
    <n v="1500"/>
    <n v="0.15"/>
    <n v="6375"/>
  </r>
  <r>
    <x v="363"/>
    <x v="118"/>
    <x v="13"/>
    <x v="5"/>
    <x v="4"/>
    <x v="1"/>
    <x v="3"/>
    <n v="2000"/>
    <n v="0.15"/>
    <n v="6800"/>
  </r>
  <r>
    <x v="364"/>
    <x v="185"/>
    <x v="0"/>
    <x v="6"/>
    <x v="3"/>
    <x v="0"/>
    <x v="1"/>
    <n v="30000"/>
    <n v="0.15"/>
    <n v="127500"/>
  </r>
  <r>
    <x v="365"/>
    <x v="48"/>
    <x v="1"/>
    <x v="5"/>
    <x v="3"/>
    <x v="0"/>
    <x v="3"/>
    <n v="30000"/>
    <n v="0"/>
    <n v="120000"/>
  </r>
  <r>
    <x v="366"/>
    <x v="235"/>
    <x v="14"/>
    <x v="3"/>
    <x v="3"/>
    <x v="0"/>
    <x v="3"/>
    <n v="30000"/>
    <n v="0.05"/>
    <n v="114000"/>
  </r>
  <r>
    <x v="367"/>
    <x v="46"/>
    <x v="14"/>
    <x v="1"/>
    <x v="0"/>
    <x v="0"/>
    <x v="3"/>
    <n v="20000"/>
    <n v="0.1"/>
    <n v="72000"/>
  </r>
  <r>
    <x v="368"/>
    <x v="197"/>
    <x v="14"/>
    <x v="2"/>
    <x v="5"/>
    <x v="2"/>
    <x v="3"/>
    <n v="7000"/>
    <n v="0"/>
    <n v="28000"/>
  </r>
  <r>
    <x v="369"/>
    <x v="140"/>
    <x v="2"/>
    <x v="2"/>
    <x v="7"/>
    <x v="0"/>
    <x v="2"/>
    <n v="12000"/>
    <n v="0.1"/>
    <n v="21600"/>
  </r>
  <r>
    <x v="370"/>
    <x v="28"/>
    <x v="14"/>
    <x v="5"/>
    <x v="6"/>
    <x v="2"/>
    <x v="0"/>
    <n v="3000"/>
    <n v="0.15"/>
    <n v="2550"/>
  </r>
  <r>
    <x v="371"/>
    <x v="236"/>
    <x v="11"/>
    <x v="7"/>
    <x v="6"/>
    <x v="2"/>
    <x v="1"/>
    <n v="3000"/>
    <n v="0.1"/>
    <n v="13500"/>
  </r>
  <r>
    <x v="372"/>
    <x v="237"/>
    <x v="10"/>
    <x v="7"/>
    <x v="4"/>
    <x v="1"/>
    <x v="4"/>
    <n v="2000"/>
    <n v="0.1"/>
    <n v="5400"/>
  </r>
  <r>
    <x v="373"/>
    <x v="238"/>
    <x v="7"/>
    <x v="3"/>
    <x v="0"/>
    <x v="0"/>
    <x v="3"/>
    <n v="20000"/>
    <n v="0.1"/>
    <n v="72000"/>
  </r>
  <r>
    <x v="374"/>
    <x v="239"/>
    <x v="2"/>
    <x v="6"/>
    <x v="2"/>
    <x v="1"/>
    <x v="0"/>
    <n v="1500"/>
    <n v="0.05"/>
    <n v="1425"/>
  </r>
  <r>
    <x v="375"/>
    <x v="203"/>
    <x v="9"/>
    <x v="2"/>
    <x v="2"/>
    <x v="1"/>
    <x v="4"/>
    <n v="1500"/>
    <n v="0.05"/>
    <n v="4275"/>
  </r>
  <r>
    <x v="376"/>
    <x v="195"/>
    <x v="9"/>
    <x v="6"/>
    <x v="2"/>
    <x v="1"/>
    <x v="1"/>
    <n v="1500"/>
    <n v="0.05"/>
    <n v="7125"/>
  </r>
  <r>
    <x v="377"/>
    <x v="240"/>
    <x v="7"/>
    <x v="0"/>
    <x v="7"/>
    <x v="0"/>
    <x v="3"/>
    <n v="12000"/>
    <n v="0.15"/>
    <n v="40800"/>
  </r>
  <r>
    <x v="378"/>
    <x v="97"/>
    <x v="15"/>
    <x v="1"/>
    <x v="3"/>
    <x v="0"/>
    <x v="1"/>
    <n v="30000"/>
    <n v="0.15"/>
    <n v="127500"/>
  </r>
  <r>
    <x v="379"/>
    <x v="52"/>
    <x v="4"/>
    <x v="2"/>
    <x v="0"/>
    <x v="0"/>
    <x v="0"/>
    <n v="20000"/>
    <n v="0"/>
    <n v="20000"/>
  </r>
  <r>
    <x v="380"/>
    <x v="241"/>
    <x v="6"/>
    <x v="3"/>
    <x v="0"/>
    <x v="0"/>
    <x v="2"/>
    <n v="20000"/>
    <n v="0"/>
    <n v="40000"/>
  </r>
  <r>
    <x v="381"/>
    <x v="29"/>
    <x v="10"/>
    <x v="1"/>
    <x v="1"/>
    <x v="0"/>
    <x v="1"/>
    <n v="50000"/>
    <n v="0.15"/>
    <n v="212500"/>
  </r>
  <r>
    <x v="382"/>
    <x v="242"/>
    <x v="2"/>
    <x v="6"/>
    <x v="1"/>
    <x v="0"/>
    <x v="1"/>
    <n v="50000"/>
    <n v="0.15"/>
    <n v="212500"/>
  </r>
  <r>
    <x v="383"/>
    <x v="243"/>
    <x v="5"/>
    <x v="4"/>
    <x v="5"/>
    <x v="2"/>
    <x v="0"/>
    <n v="7000"/>
    <n v="0.15"/>
    <n v="5950"/>
  </r>
  <r>
    <x v="384"/>
    <x v="138"/>
    <x v="3"/>
    <x v="3"/>
    <x v="3"/>
    <x v="0"/>
    <x v="2"/>
    <n v="30000"/>
    <n v="0.05"/>
    <n v="57000"/>
  </r>
  <r>
    <x v="385"/>
    <x v="187"/>
    <x v="11"/>
    <x v="7"/>
    <x v="5"/>
    <x v="2"/>
    <x v="3"/>
    <n v="7000"/>
    <n v="0"/>
    <n v="28000"/>
  </r>
  <r>
    <x v="386"/>
    <x v="12"/>
    <x v="8"/>
    <x v="1"/>
    <x v="6"/>
    <x v="2"/>
    <x v="2"/>
    <n v="3000"/>
    <n v="0.1"/>
    <n v="5400"/>
  </r>
  <r>
    <x v="387"/>
    <x v="244"/>
    <x v="10"/>
    <x v="1"/>
    <x v="0"/>
    <x v="0"/>
    <x v="3"/>
    <n v="20000"/>
    <n v="0.15"/>
    <n v="68000"/>
  </r>
  <r>
    <x v="388"/>
    <x v="195"/>
    <x v="1"/>
    <x v="3"/>
    <x v="1"/>
    <x v="0"/>
    <x v="2"/>
    <n v="50000"/>
    <n v="0"/>
    <n v="100000"/>
  </r>
  <r>
    <x v="389"/>
    <x v="27"/>
    <x v="14"/>
    <x v="7"/>
    <x v="0"/>
    <x v="0"/>
    <x v="1"/>
    <n v="20000"/>
    <n v="0"/>
    <n v="100000"/>
  </r>
  <r>
    <x v="390"/>
    <x v="12"/>
    <x v="3"/>
    <x v="1"/>
    <x v="5"/>
    <x v="2"/>
    <x v="0"/>
    <n v="7000"/>
    <n v="0"/>
    <n v="7000"/>
  </r>
  <r>
    <x v="391"/>
    <x v="99"/>
    <x v="4"/>
    <x v="5"/>
    <x v="3"/>
    <x v="0"/>
    <x v="4"/>
    <n v="30000"/>
    <n v="0"/>
    <n v="90000"/>
  </r>
  <r>
    <x v="392"/>
    <x v="98"/>
    <x v="0"/>
    <x v="5"/>
    <x v="0"/>
    <x v="0"/>
    <x v="4"/>
    <n v="20000"/>
    <n v="0.05"/>
    <n v="57000"/>
  </r>
  <r>
    <x v="393"/>
    <x v="101"/>
    <x v="8"/>
    <x v="3"/>
    <x v="4"/>
    <x v="1"/>
    <x v="3"/>
    <n v="2000"/>
    <n v="0.05"/>
    <n v="7600"/>
  </r>
  <r>
    <x v="394"/>
    <x v="126"/>
    <x v="8"/>
    <x v="3"/>
    <x v="1"/>
    <x v="0"/>
    <x v="0"/>
    <n v="50000"/>
    <n v="0.15"/>
    <n v="42500"/>
  </r>
  <r>
    <x v="395"/>
    <x v="245"/>
    <x v="3"/>
    <x v="7"/>
    <x v="2"/>
    <x v="1"/>
    <x v="4"/>
    <n v="1500"/>
    <n v="0"/>
    <n v="4500"/>
  </r>
  <r>
    <x v="396"/>
    <x v="44"/>
    <x v="11"/>
    <x v="5"/>
    <x v="7"/>
    <x v="0"/>
    <x v="2"/>
    <n v="12000"/>
    <n v="0.1"/>
    <n v="21600"/>
  </r>
  <r>
    <x v="397"/>
    <x v="23"/>
    <x v="13"/>
    <x v="2"/>
    <x v="3"/>
    <x v="0"/>
    <x v="1"/>
    <n v="30000"/>
    <n v="0.15"/>
    <n v="127500"/>
  </r>
  <r>
    <x v="398"/>
    <x v="178"/>
    <x v="11"/>
    <x v="0"/>
    <x v="0"/>
    <x v="0"/>
    <x v="0"/>
    <n v="20000"/>
    <n v="0.1"/>
    <n v="18000"/>
  </r>
  <r>
    <x v="399"/>
    <x v="246"/>
    <x v="8"/>
    <x v="1"/>
    <x v="2"/>
    <x v="1"/>
    <x v="4"/>
    <n v="1500"/>
    <n v="0.1"/>
    <n v="4050"/>
  </r>
  <r>
    <x v="400"/>
    <x v="247"/>
    <x v="5"/>
    <x v="0"/>
    <x v="5"/>
    <x v="2"/>
    <x v="3"/>
    <n v="7000"/>
    <n v="0.1"/>
    <n v="25200"/>
  </r>
  <r>
    <x v="401"/>
    <x v="180"/>
    <x v="1"/>
    <x v="4"/>
    <x v="0"/>
    <x v="0"/>
    <x v="2"/>
    <n v="20000"/>
    <n v="0.15"/>
    <n v="34000"/>
  </r>
  <r>
    <x v="402"/>
    <x v="44"/>
    <x v="8"/>
    <x v="3"/>
    <x v="1"/>
    <x v="0"/>
    <x v="0"/>
    <n v="50000"/>
    <n v="0.1"/>
    <n v="45000"/>
  </r>
  <r>
    <x v="403"/>
    <x v="52"/>
    <x v="11"/>
    <x v="4"/>
    <x v="2"/>
    <x v="1"/>
    <x v="0"/>
    <n v="1500"/>
    <n v="0.1"/>
    <n v="1350"/>
  </r>
  <r>
    <x v="404"/>
    <x v="12"/>
    <x v="11"/>
    <x v="0"/>
    <x v="6"/>
    <x v="2"/>
    <x v="1"/>
    <n v="3000"/>
    <n v="0.05"/>
    <n v="14250"/>
  </r>
  <r>
    <x v="405"/>
    <x v="248"/>
    <x v="10"/>
    <x v="0"/>
    <x v="3"/>
    <x v="0"/>
    <x v="4"/>
    <n v="30000"/>
    <n v="0.1"/>
    <n v="81000"/>
  </r>
  <r>
    <x v="406"/>
    <x v="143"/>
    <x v="1"/>
    <x v="6"/>
    <x v="0"/>
    <x v="0"/>
    <x v="2"/>
    <n v="20000"/>
    <n v="0.15"/>
    <n v="34000"/>
  </r>
  <r>
    <x v="407"/>
    <x v="249"/>
    <x v="0"/>
    <x v="7"/>
    <x v="7"/>
    <x v="0"/>
    <x v="0"/>
    <n v="12000"/>
    <n v="0.1"/>
    <n v="10800"/>
  </r>
  <r>
    <x v="408"/>
    <x v="189"/>
    <x v="13"/>
    <x v="1"/>
    <x v="6"/>
    <x v="2"/>
    <x v="3"/>
    <n v="3000"/>
    <n v="0"/>
    <n v="12000"/>
  </r>
  <r>
    <x v="409"/>
    <x v="250"/>
    <x v="6"/>
    <x v="3"/>
    <x v="2"/>
    <x v="1"/>
    <x v="4"/>
    <n v="1500"/>
    <n v="0.15"/>
    <n v="3825"/>
  </r>
  <r>
    <x v="410"/>
    <x v="251"/>
    <x v="9"/>
    <x v="2"/>
    <x v="2"/>
    <x v="1"/>
    <x v="1"/>
    <n v="1500"/>
    <n v="0.05"/>
    <n v="7125"/>
  </r>
  <r>
    <x v="411"/>
    <x v="219"/>
    <x v="9"/>
    <x v="6"/>
    <x v="7"/>
    <x v="0"/>
    <x v="4"/>
    <n v="12000"/>
    <n v="0.05"/>
    <n v="34200"/>
  </r>
  <r>
    <x v="412"/>
    <x v="252"/>
    <x v="11"/>
    <x v="6"/>
    <x v="7"/>
    <x v="0"/>
    <x v="1"/>
    <n v="12000"/>
    <n v="0.05"/>
    <n v="57000"/>
  </r>
  <r>
    <x v="413"/>
    <x v="98"/>
    <x v="14"/>
    <x v="0"/>
    <x v="2"/>
    <x v="1"/>
    <x v="4"/>
    <n v="1500"/>
    <n v="0"/>
    <n v="4500"/>
  </r>
  <r>
    <x v="414"/>
    <x v="106"/>
    <x v="13"/>
    <x v="4"/>
    <x v="1"/>
    <x v="0"/>
    <x v="3"/>
    <n v="50000"/>
    <n v="0.05"/>
    <n v="190000"/>
  </r>
  <r>
    <x v="415"/>
    <x v="245"/>
    <x v="13"/>
    <x v="2"/>
    <x v="2"/>
    <x v="1"/>
    <x v="3"/>
    <n v="1500"/>
    <n v="0.05"/>
    <n v="5700"/>
  </r>
  <r>
    <x v="416"/>
    <x v="244"/>
    <x v="8"/>
    <x v="7"/>
    <x v="5"/>
    <x v="2"/>
    <x v="2"/>
    <n v="7000"/>
    <n v="0.15"/>
    <n v="11900"/>
  </r>
  <r>
    <x v="417"/>
    <x v="218"/>
    <x v="1"/>
    <x v="1"/>
    <x v="7"/>
    <x v="0"/>
    <x v="1"/>
    <n v="12000"/>
    <n v="0.15"/>
    <n v="51000"/>
  </r>
  <r>
    <x v="418"/>
    <x v="156"/>
    <x v="0"/>
    <x v="3"/>
    <x v="4"/>
    <x v="1"/>
    <x v="1"/>
    <n v="2000"/>
    <n v="0"/>
    <n v="10000"/>
  </r>
  <r>
    <x v="419"/>
    <x v="98"/>
    <x v="11"/>
    <x v="3"/>
    <x v="3"/>
    <x v="0"/>
    <x v="1"/>
    <n v="30000"/>
    <n v="0"/>
    <n v="150000"/>
  </r>
  <r>
    <x v="420"/>
    <x v="253"/>
    <x v="3"/>
    <x v="2"/>
    <x v="2"/>
    <x v="1"/>
    <x v="0"/>
    <n v="1500"/>
    <n v="0"/>
    <n v="1500"/>
  </r>
  <r>
    <x v="421"/>
    <x v="254"/>
    <x v="6"/>
    <x v="0"/>
    <x v="6"/>
    <x v="2"/>
    <x v="3"/>
    <n v="3000"/>
    <n v="0.1"/>
    <n v="10800"/>
  </r>
  <r>
    <x v="422"/>
    <x v="255"/>
    <x v="13"/>
    <x v="5"/>
    <x v="4"/>
    <x v="1"/>
    <x v="0"/>
    <n v="2000"/>
    <n v="0.15"/>
    <n v="1700"/>
  </r>
  <r>
    <x v="423"/>
    <x v="171"/>
    <x v="13"/>
    <x v="3"/>
    <x v="0"/>
    <x v="0"/>
    <x v="0"/>
    <n v="20000"/>
    <n v="0.05"/>
    <n v="19000"/>
  </r>
  <r>
    <x v="424"/>
    <x v="171"/>
    <x v="10"/>
    <x v="4"/>
    <x v="7"/>
    <x v="0"/>
    <x v="2"/>
    <n v="12000"/>
    <n v="0.15"/>
    <n v="20400"/>
  </r>
  <r>
    <x v="425"/>
    <x v="186"/>
    <x v="13"/>
    <x v="1"/>
    <x v="7"/>
    <x v="0"/>
    <x v="3"/>
    <n v="12000"/>
    <n v="0.1"/>
    <n v="43200"/>
  </r>
  <r>
    <x v="426"/>
    <x v="104"/>
    <x v="5"/>
    <x v="0"/>
    <x v="0"/>
    <x v="0"/>
    <x v="0"/>
    <n v="20000"/>
    <n v="0.1"/>
    <n v="18000"/>
  </r>
  <r>
    <x v="427"/>
    <x v="113"/>
    <x v="12"/>
    <x v="3"/>
    <x v="6"/>
    <x v="2"/>
    <x v="1"/>
    <n v="3000"/>
    <n v="0.05"/>
    <n v="14250"/>
  </r>
  <r>
    <x v="428"/>
    <x v="63"/>
    <x v="12"/>
    <x v="0"/>
    <x v="2"/>
    <x v="1"/>
    <x v="3"/>
    <n v="1500"/>
    <n v="0.05"/>
    <n v="5700"/>
  </r>
  <r>
    <x v="429"/>
    <x v="193"/>
    <x v="14"/>
    <x v="7"/>
    <x v="2"/>
    <x v="1"/>
    <x v="3"/>
    <n v="1500"/>
    <n v="0"/>
    <n v="6000"/>
  </r>
  <r>
    <x v="430"/>
    <x v="256"/>
    <x v="14"/>
    <x v="2"/>
    <x v="2"/>
    <x v="1"/>
    <x v="3"/>
    <n v="1500"/>
    <n v="0"/>
    <n v="6000"/>
  </r>
  <r>
    <x v="431"/>
    <x v="257"/>
    <x v="12"/>
    <x v="3"/>
    <x v="5"/>
    <x v="2"/>
    <x v="0"/>
    <n v="7000"/>
    <n v="0"/>
    <n v="7000"/>
  </r>
  <r>
    <x v="432"/>
    <x v="258"/>
    <x v="3"/>
    <x v="7"/>
    <x v="4"/>
    <x v="1"/>
    <x v="2"/>
    <n v="2000"/>
    <n v="0.15"/>
    <n v="3400"/>
  </r>
  <r>
    <x v="433"/>
    <x v="125"/>
    <x v="11"/>
    <x v="4"/>
    <x v="4"/>
    <x v="1"/>
    <x v="1"/>
    <n v="2000"/>
    <n v="0.15"/>
    <n v="8500"/>
  </r>
  <r>
    <x v="434"/>
    <x v="259"/>
    <x v="12"/>
    <x v="6"/>
    <x v="4"/>
    <x v="1"/>
    <x v="4"/>
    <n v="2000"/>
    <n v="0.15"/>
    <n v="5100"/>
  </r>
  <r>
    <x v="435"/>
    <x v="114"/>
    <x v="0"/>
    <x v="6"/>
    <x v="0"/>
    <x v="0"/>
    <x v="2"/>
    <n v="20000"/>
    <n v="0.1"/>
    <n v="36000"/>
  </r>
  <r>
    <x v="436"/>
    <x v="74"/>
    <x v="4"/>
    <x v="5"/>
    <x v="0"/>
    <x v="0"/>
    <x v="2"/>
    <n v="20000"/>
    <n v="0.1"/>
    <n v="36000"/>
  </r>
  <r>
    <x v="437"/>
    <x v="260"/>
    <x v="11"/>
    <x v="5"/>
    <x v="2"/>
    <x v="1"/>
    <x v="1"/>
    <n v="1500"/>
    <n v="0.05"/>
    <n v="7125"/>
  </r>
  <r>
    <x v="438"/>
    <x v="92"/>
    <x v="12"/>
    <x v="7"/>
    <x v="3"/>
    <x v="0"/>
    <x v="3"/>
    <n v="30000"/>
    <n v="0.05"/>
    <n v="114000"/>
  </r>
  <r>
    <x v="439"/>
    <x v="261"/>
    <x v="6"/>
    <x v="1"/>
    <x v="5"/>
    <x v="2"/>
    <x v="2"/>
    <n v="7000"/>
    <n v="0.05"/>
    <n v="13300"/>
  </r>
  <r>
    <x v="440"/>
    <x v="189"/>
    <x v="14"/>
    <x v="5"/>
    <x v="4"/>
    <x v="1"/>
    <x v="0"/>
    <n v="2000"/>
    <n v="0.15"/>
    <n v="1700"/>
  </r>
  <r>
    <x v="441"/>
    <x v="115"/>
    <x v="6"/>
    <x v="7"/>
    <x v="7"/>
    <x v="0"/>
    <x v="3"/>
    <n v="12000"/>
    <n v="0.15"/>
    <n v="40800"/>
  </r>
  <r>
    <x v="442"/>
    <x v="262"/>
    <x v="13"/>
    <x v="1"/>
    <x v="3"/>
    <x v="0"/>
    <x v="0"/>
    <n v="30000"/>
    <n v="0"/>
    <n v="30000"/>
  </r>
  <r>
    <x v="443"/>
    <x v="240"/>
    <x v="6"/>
    <x v="7"/>
    <x v="5"/>
    <x v="2"/>
    <x v="2"/>
    <n v="7000"/>
    <n v="0.1"/>
    <n v="12600"/>
  </r>
  <r>
    <x v="444"/>
    <x v="248"/>
    <x v="7"/>
    <x v="1"/>
    <x v="0"/>
    <x v="0"/>
    <x v="1"/>
    <n v="20000"/>
    <n v="0"/>
    <n v="100000"/>
  </r>
  <r>
    <x v="445"/>
    <x v="263"/>
    <x v="5"/>
    <x v="2"/>
    <x v="7"/>
    <x v="0"/>
    <x v="1"/>
    <n v="12000"/>
    <n v="0.05"/>
    <n v="57000"/>
  </r>
  <r>
    <x v="446"/>
    <x v="264"/>
    <x v="7"/>
    <x v="4"/>
    <x v="5"/>
    <x v="2"/>
    <x v="0"/>
    <n v="7000"/>
    <n v="0.15"/>
    <n v="5950"/>
  </r>
  <r>
    <x v="447"/>
    <x v="265"/>
    <x v="7"/>
    <x v="5"/>
    <x v="7"/>
    <x v="0"/>
    <x v="0"/>
    <n v="12000"/>
    <n v="0.05"/>
    <n v="11400"/>
  </r>
  <r>
    <x v="448"/>
    <x v="266"/>
    <x v="14"/>
    <x v="1"/>
    <x v="3"/>
    <x v="0"/>
    <x v="1"/>
    <n v="30000"/>
    <n v="0.05"/>
    <n v="142500"/>
  </r>
  <r>
    <x v="449"/>
    <x v="267"/>
    <x v="12"/>
    <x v="3"/>
    <x v="4"/>
    <x v="1"/>
    <x v="1"/>
    <n v="2000"/>
    <n v="0.1"/>
    <n v="9000"/>
  </r>
  <r>
    <x v="450"/>
    <x v="207"/>
    <x v="5"/>
    <x v="0"/>
    <x v="5"/>
    <x v="2"/>
    <x v="4"/>
    <n v="7000"/>
    <n v="0.1"/>
    <n v="18900"/>
  </r>
  <r>
    <x v="451"/>
    <x v="217"/>
    <x v="4"/>
    <x v="0"/>
    <x v="2"/>
    <x v="1"/>
    <x v="0"/>
    <n v="1500"/>
    <n v="0.1"/>
    <n v="1350"/>
  </r>
  <r>
    <x v="452"/>
    <x v="71"/>
    <x v="11"/>
    <x v="7"/>
    <x v="6"/>
    <x v="2"/>
    <x v="2"/>
    <n v="3000"/>
    <n v="0.1"/>
    <n v="5400"/>
  </r>
  <r>
    <x v="453"/>
    <x v="7"/>
    <x v="1"/>
    <x v="5"/>
    <x v="3"/>
    <x v="0"/>
    <x v="1"/>
    <n v="30000"/>
    <n v="0.1"/>
    <n v="135000"/>
  </r>
  <r>
    <x v="454"/>
    <x v="111"/>
    <x v="3"/>
    <x v="3"/>
    <x v="7"/>
    <x v="0"/>
    <x v="0"/>
    <n v="12000"/>
    <n v="0"/>
    <n v="12000"/>
  </r>
  <r>
    <x v="455"/>
    <x v="268"/>
    <x v="2"/>
    <x v="4"/>
    <x v="7"/>
    <x v="0"/>
    <x v="3"/>
    <n v="12000"/>
    <n v="0.1"/>
    <n v="43200"/>
  </r>
  <r>
    <x v="456"/>
    <x v="218"/>
    <x v="11"/>
    <x v="2"/>
    <x v="7"/>
    <x v="0"/>
    <x v="4"/>
    <n v="12000"/>
    <n v="0"/>
    <n v="36000"/>
  </r>
  <r>
    <x v="457"/>
    <x v="248"/>
    <x v="9"/>
    <x v="6"/>
    <x v="2"/>
    <x v="1"/>
    <x v="2"/>
    <n v="1500"/>
    <n v="0.15"/>
    <n v="2550"/>
  </r>
  <r>
    <x v="458"/>
    <x v="145"/>
    <x v="10"/>
    <x v="3"/>
    <x v="4"/>
    <x v="1"/>
    <x v="1"/>
    <n v="2000"/>
    <n v="0.05"/>
    <n v="9500"/>
  </r>
  <r>
    <x v="459"/>
    <x v="103"/>
    <x v="6"/>
    <x v="1"/>
    <x v="1"/>
    <x v="0"/>
    <x v="0"/>
    <n v="50000"/>
    <n v="0"/>
    <n v="50000"/>
  </r>
  <r>
    <x v="460"/>
    <x v="67"/>
    <x v="2"/>
    <x v="5"/>
    <x v="0"/>
    <x v="0"/>
    <x v="2"/>
    <n v="20000"/>
    <n v="0.15"/>
    <n v="34000"/>
  </r>
  <r>
    <x v="461"/>
    <x v="269"/>
    <x v="3"/>
    <x v="4"/>
    <x v="6"/>
    <x v="2"/>
    <x v="2"/>
    <n v="3000"/>
    <n v="0.1"/>
    <n v="5400"/>
  </r>
  <r>
    <x v="462"/>
    <x v="182"/>
    <x v="12"/>
    <x v="1"/>
    <x v="4"/>
    <x v="1"/>
    <x v="4"/>
    <n v="2000"/>
    <n v="0"/>
    <n v="6000"/>
  </r>
  <r>
    <x v="463"/>
    <x v="157"/>
    <x v="8"/>
    <x v="4"/>
    <x v="2"/>
    <x v="1"/>
    <x v="4"/>
    <n v="1500"/>
    <n v="0.05"/>
    <n v="4275"/>
  </r>
  <r>
    <x v="464"/>
    <x v="72"/>
    <x v="4"/>
    <x v="2"/>
    <x v="1"/>
    <x v="0"/>
    <x v="2"/>
    <n v="50000"/>
    <n v="0.15"/>
    <n v="85000"/>
  </r>
  <r>
    <x v="465"/>
    <x v="270"/>
    <x v="9"/>
    <x v="4"/>
    <x v="7"/>
    <x v="0"/>
    <x v="0"/>
    <n v="12000"/>
    <n v="0"/>
    <n v="12000"/>
  </r>
  <r>
    <x v="466"/>
    <x v="271"/>
    <x v="0"/>
    <x v="5"/>
    <x v="2"/>
    <x v="1"/>
    <x v="2"/>
    <n v="1500"/>
    <n v="0.15"/>
    <n v="2550"/>
  </r>
  <r>
    <x v="467"/>
    <x v="206"/>
    <x v="7"/>
    <x v="6"/>
    <x v="0"/>
    <x v="0"/>
    <x v="0"/>
    <n v="20000"/>
    <n v="0"/>
    <n v="20000"/>
  </r>
  <r>
    <x v="468"/>
    <x v="144"/>
    <x v="4"/>
    <x v="4"/>
    <x v="3"/>
    <x v="0"/>
    <x v="3"/>
    <n v="30000"/>
    <n v="0.05"/>
    <n v="114000"/>
  </r>
  <r>
    <x v="469"/>
    <x v="272"/>
    <x v="7"/>
    <x v="2"/>
    <x v="1"/>
    <x v="0"/>
    <x v="1"/>
    <n v="50000"/>
    <n v="0.05"/>
    <n v="237500"/>
  </r>
  <r>
    <x v="470"/>
    <x v="241"/>
    <x v="8"/>
    <x v="4"/>
    <x v="3"/>
    <x v="0"/>
    <x v="3"/>
    <n v="30000"/>
    <n v="0.15"/>
    <n v="102000"/>
  </r>
  <r>
    <x v="471"/>
    <x v="82"/>
    <x v="1"/>
    <x v="3"/>
    <x v="3"/>
    <x v="0"/>
    <x v="0"/>
    <n v="30000"/>
    <n v="0.15"/>
    <n v="25500"/>
  </r>
  <r>
    <x v="472"/>
    <x v="273"/>
    <x v="8"/>
    <x v="2"/>
    <x v="3"/>
    <x v="0"/>
    <x v="2"/>
    <n v="30000"/>
    <n v="0.1"/>
    <n v="54000"/>
  </r>
  <r>
    <x v="473"/>
    <x v="266"/>
    <x v="14"/>
    <x v="5"/>
    <x v="5"/>
    <x v="2"/>
    <x v="0"/>
    <n v="7000"/>
    <n v="0.1"/>
    <n v="6300"/>
  </r>
  <r>
    <x v="474"/>
    <x v="89"/>
    <x v="11"/>
    <x v="4"/>
    <x v="5"/>
    <x v="2"/>
    <x v="0"/>
    <n v="7000"/>
    <n v="0.05"/>
    <n v="6650"/>
  </r>
  <r>
    <x v="475"/>
    <x v="231"/>
    <x v="2"/>
    <x v="3"/>
    <x v="6"/>
    <x v="2"/>
    <x v="3"/>
    <n v="3000"/>
    <n v="0"/>
    <n v="12000"/>
  </r>
  <r>
    <x v="476"/>
    <x v="38"/>
    <x v="1"/>
    <x v="3"/>
    <x v="4"/>
    <x v="1"/>
    <x v="2"/>
    <n v="2000"/>
    <n v="0.15"/>
    <n v="3400"/>
  </r>
  <r>
    <x v="477"/>
    <x v="274"/>
    <x v="8"/>
    <x v="1"/>
    <x v="3"/>
    <x v="0"/>
    <x v="3"/>
    <n v="30000"/>
    <n v="0"/>
    <n v="120000"/>
  </r>
  <r>
    <x v="478"/>
    <x v="34"/>
    <x v="11"/>
    <x v="6"/>
    <x v="5"/>
    <x v="2"/>
    <x v="2"/>
    <n v="7000"/>
    <n v="0"/>
    <n v="14000"/>
  </r>
  <r>
    <x v="479"/>
    <x v="275"/>
    <x v="4"/>
    <x v="6"/>
    <x v="2"/>
    <x v="1"/>
    <x v="3"/>
    <n v="1500"/>
    <n v="0.15"/>
    <n v="5100"/>
  </r>
  <r>
    <x v="480"/>
    <x v="65"/>
    <x v="14"/>
    <x v="0"/>
    <x v="0"/>
    <x v="0"/>
    <x v="4"/>
    <n v="20000"/>
    <n v="0"/>
    <n v="60000"/>
  </r>
  <r>
    <x v="481"/>
    <x v="173"/>
    <x v="1"/>
    <x v="2"/>
    <x v="4"/>
    <x v="1"/>
    <x v="3"/>
    <n v="2000"/>
    <n v="0"/>
    <n v="8000"/>
  </r>
  <r>
    <x v="482"/>
    <x v="20"/>
    <x v="5"/>
    <x v="7"/>
    <x v="1"/>
    <x v="0"/>
    <x v="2"/>
    <n v="50000"/>
    <n v="0"/>
    <n v="100000"/>
  </r>
  <r>
    <x v="483"/>
    <x v="26"/>
    <x v="2"/>
    <x v="0"/>
    <x v="1"/>
    <x v="0"/>
    <x v="4"/>
    <n v="50000"/>
    <n v="0.05"/>
    <n v="142500"/>
  </r>
  <r>
    <x v="484"/>
    <x v="233"/>
    <x v="3"/>
    <x v="0"/>
    <x v="1"/>
    <x v="0"/>
    <x v="2"/>
    <n v="50000"/>
    <n v="0.15"/>
    <n v="85000"/>
  </r>
  <r>
    <x v="485"/>
    <x v="114"/>
    <x v="2"/>
    <x v="3"/>
    <x v="4"/>
    <x v="1"/>
    <x v="2"/>
    <n v="2000"/>
    <n v="0.1"/>
    <n v="3600"/>
  </r>
  <r>
    <x v="486"/>
    <x v="264"/>
    <x v="8"/>
    <x v="7"/>
    <x v="2"/>
    <x v="1"/>
    <x v="4"/>
    <n v="1500"/>
    <n v="0"/>
    <n v="4500"/>
  </r>
  <r>
    <x v="487"/>
    <x v="225"/>
    <x v="10"/>
    <x v="0"/>
    <x v="7"/>
    <x v="0"/>
    <x v="1"/>
    <n v="12000"/>
    <n v="0.1"/>
    <n v="54000"/>
  </r>
  <r>
    <x v="488"/>
    <x v="84"/>
    <x v="5"/>
    <x v="2"/>
    <x v="4"/>
    <x v="1"/>
    <x v="2"/>
    <n v="2000"/>
    <n v="0.1"/>
    <n v="3600"/>
  </r>
  <r>
    <x v="489"/>
    <x v="0"/>
    <x v="15"/>
    <x v="7"/>
    <x v="1"/>
    <x v="0"/>
    <x v="0"/>
    <n v="50000"/>
    <n v="0"/>
    <n v="50000"/>
  </r>
  <r>
    <x v="490"/>
    <x v="243"/>
    <x v="15"/>
    <x v="5"/>
    <x v="4"/>
    <x v="1"/>
    <x v="3"/>
    <n v="2000"/>
    <n v="0.05"/>
    <n v="7600"/>
  </r>
  <r>
    <x v="491"/>
    <x v="276"/>
    <x v="9"/>
    <x v="6"/>
    <x v="6"/>
    <x v="2"/>
    <x v="4"/>
    <n v="3000"/>
    <n v="0.05"/>
    <n v="8550"/>
  </r>
  <r>
    <x v="492"/>
    <x v="26"/>
    <x v="15"/>
    <x v="0"/>
    <x v="0"/>
    <x v="0"/>
    <x v="1"/>
    <n v="20000"/>
    <n v="0.1"/>
    <n v="90000"/>
  </r>
  <r>
    <x v="493"/>
    <x v="13"/>
    <x v="8"/>
    <x v="7"/>
    <x v="6"/>
    <x v="2"/>
    <x v="1"/>
    <n v="3000"/>
    <n v="0"/>
    <n v="15000"/>
  </r>
  <r>
    <x v="494"/>
    <x v="220"/>
    <x v="6"/>
    <x v="1"/>
    <x v="5"/>
    <x v="2"/>
    <x v="4"/>
    <n v="7000"/>
    <n v="0.1"/>
    <n v="18900"/>
  </r>
  <r>
    <x v="495"/>
    <x v="98"/>
    <x v="13"/>
    <x v="2"/>
    <x v="4"/>
    <x v="1"/>
    <x v="2"/>
    <n v="2000"/>
    <n v="0.1"/>
    <n v="3600"/>
  </r>
  <r>
    <x v="496"/>
    <x v="203"/>
    <x v="0"/>
    <x v="0"/>
    <x v="7"/>
    <x v="0"/>
    <x v="4"/>
    <n v="12000"/>
    <n v="0.15"/>
    <n v="30600"/>
  </r>
  <r>
    <x v="497"/>
    <x v="2"/>
    <x v="7"/>
    <x v="1"/>
    <x v="1"/>
    <x v="0"/>
    <x v="3"/>
    <n v="50000"/>
    <n v="0"/>
    <n v="200000"/>
  </r>
  <r>
    <x v="498"/>
    <x v="223"/>
    <x v="5"/>
    <x v="2"/>
    <x v="4"/>
    <x v="1"/>
    <x v="0"/>
    <n v="2000"/>
    <n v="0.15"/>
    <n v="1700"/>
  </r>
  <r>
    <x v="499"/>
    <x v="34"/>
    <x v="4"/>
    <x v="6"/>
    <x v="6"/>
    <x v="2"/>
    <x v="3"/>
    <n v="3000"/>
    <n v="0.15"/>
    <n v="10200"/>
  </r>
  <r>
    <x v="500"/>
    <x v="277"/>
    <x v="1"/>
    <x v="3"/>
    <x v="0"/>
    <x v="0"/>
    <x v="0"/>
    <n v="20000"/>
    <n v="0.05"/>
    <n v="19000"/>
  </r>
  <r>
    <x v="501"/>
    <x v="209"/>
    <x v="4"/>
    <x v="5"/>
    <x v="7"/>
    <x v="0"/>
    <x v="0"/>
    <n v="12000"/>
    <n v="0"/>
    <n v="12000"/>
  </r>
  <r>
    <x v="502"/>
    <x v="20"/>
    <x v="4"/>
    <x v="2"/>
    <x v="0"/>
    <x v="0"/>
    <x v="1"/>
    <n v="20000"/>
    <n v="0"/>
    <n v="100000"/>
  </r>
  <r>
    <x v="503"/>
    <x v="80"/>
    <x v="9"/>
    <x v="3"/>
    <x v="5"/>
    <x v="2"/>
    <x v="4"/>
    <n v="7000"/>
    <n v="0.1"/>
    <n v="18900"/>
  </r>
  <r>
    <x v="504"/>
    <x v="278"/>
    <x v="14"/>
    <x v="0"/>
    <x v="7"/>
    <x v="0"/>
    <x v="4"/>
    <n v="12000"/>
    <n v="0.05"/>
    <n v="34200"/>
  </r>
  <r>
    <x v="505"/>
    <x v="105"/>
    <x v="6"/>
    <x v="7"/>
    <x v="0"/>
    <x v="0"/>
    <x v="2"/>
    <n v="20000"/>
    <n v="0"/>
    <n v="40000"/>
  </r>
  <r>
    <x v="506"/>
    <x v="257"/>
    <x v="7"/>
    <x v="2"/>
    <x v="4"/>
    <x v="1"/>
    <x v="3"/>
    <n v="2000"/>
    <n v="0"/>
    <n v="8000"/>
  </r>
  <r>
    <x v="507"/>
    <x v="136"/>
    <x v="5"/>
    <x v="4"/>
    <x v="7"/>
    <x v="0"/>
    <x v="4"/>
    <n v="12000"/>
    <n v="0.15"/>
    <n v="30600"/>
  </r>
  <r>
    <x v="508"/>
    <x v="162"/>
    <x v="9"/>
    <x v="0"/>
    <x v="3"/>
    <x v="0"/>
    <x v="4"/>
    <n v="30000"/>
    <n v="0"/>
    <n v="90000"/>
  </r>
  <r>
    <x v="509"/>
    <x v="279"/>
    <x v="15"/>
    <x v="6"/>
    <x v="0"/>
    <x v="0"/>
    <x v="2"/>
    <n v="20000"/>
    <n v="0.1"/>
    <n v="36000"/>
  </r>
  <r>
    <x v="510"/>
    <x v="63"/>
    <x v="6"/>
    <x v="2"/>
    <x v="5"/>
    <x v="2"/>
    <x v="2"/>
    <n v="7000"/>
    <n v="0"/>
    <n v="14000"/>
  </r>
  <r>
    <x v="511"/>
    <x v="15"/>
    <x v="5"/>
    <x v="1"/>
    <x v="0"/>
    <x v="0"/>
    <x v="3"/>
    <n v="20000"/>
    <n v="0"/>
    <n v="80000"/>
  </r>
  <r>
    <x v="512"/>
    <x v="129"/>
    <x v="11"/>
    <x v="3"/>
    <x v="1"/>
    <x v="0"/>
    <x v="2"/>
    <n v="50000"/>
    <n v="0.05"/>
    <n v="95000"/>
  </r>
  <r>
    <x v="513"/>
    <x v="278"/>
    <x v="2"/>
    <x v="4"/>
    <x v="0"/>
    <x v="0"/>
    <x v="1"/>
    <n v="20000"/>
    <n v="0.1"/>
    <n v="90000"/>
  </r>
  <r>
    <x v="514"/>
    <x v="46"/>
    <x v="9"/>
    <x v="4"/>
    <x v="6"/>
    <x v="2"/>
    <x v="3"/>
    <n v="3000"/>
    <n v="0.05"/>
    <n v="11400"/>
  </r>
  <r>
    <x v="515"/>
    <x v="240"/>
    <x v="1"/>
    <x v="5"/>
    <x v="1"/>
    <x v="0"/>
    <x v="3"/>
    <n v="50000"/>
    <n v="0"/>
    <n v="200000"/>
  </r>
  <r>
    <x v="516"/>
    <x v="280"/>
    <x v="1"/>
    <x v="0"/>
    <x v="7"/>
    <x v="0"/>
    <x v="0"/>
    <n v="12000"/>
    <n v="0.15"/>
    <n v="10200"/>
  </r>
  <r>
    <x v="517"/>
    <x v="131"/>
    <x v="3"/>
    <x v="7"/>
    <x v="4"/>
    <x v="1"/>
    <x v="2"/>
    <n v="2000"/>
    <n v="0.05"/>
    <n v="3800"/>
  </r>
  <r>
    <x v="518"/>
    <x v="104"/>
    <x v="13"/>
    <x v="7"/>
    <x v="3"/>
    <x v="0"/>
    <x v="0"/>
    <n v="30000"/>
    <n v="0.05"/>
    <n v="28500"/>
  </r>
  <r>
    <x v="519"/>
    <x v="149"/>
    <x v="8"/>
    <x v="6"/>
    <x v="2"/>
    <x v="1"/>
    <x v="1"/>
    <n v="1500"/>
    <n v="0.15"/>
    <n v="6375"/>
  </r>
  <r>
    <x v="520"/>
    <x v="83"/>
    <x v="0"/>
    <x v="1"/>
    <x v="2"/>
    <x v="1"/>
    <x v="2"/>
    <n v="1500"/>
    <n v="0.15"/>
    <n v="2550"/>
  </r>
  <r>
    <x v="521"/>
    <x v="190"/>
    <x v="10"/>
    <x v="3"/>
    <x v="2"/>
    <x v="1"/>
    <x v="4"/>
    <n v="1500"/>
    <n v="0.15"/>
    <n v="3825"/>
  </r>
  <r>
    <x v="522"/>
    <x v="281"/>
    <x v="2"/>
    <x v="3"/>
    <x v="4"/>
    <x v="1"/>
    <x v="3"/>
    <n v="2000"/>
    <n v="0.1"/>
    <n v="7200"/>
  </r>
  <r>
    <x v="523"/>
    <x v="282"/>
    <x v="10"/>
    <x v="3"/>
    <x v="6"/>
    <x v="2"/>
    <x v="0"/>
    <n v="3000"/>
    <n v="0.1"/>
    <n v="2700"/>
  </r>
  <r>
    <x v="524"/>
    <x v="71"/>
    <x v="0"/>
    <x v="6"/>
    <x v="6"/>
    <x v="2"/>
    <x v="2"/>
    <n v="3000"/>
    <n v="0"/>
    <n v="6000"/>
  </r>
  <r>
    <x v="525"/>
    <x v="51"/>
    <x v="12"/>
    <x v="0"/>
    <x v="1"/>
    <x v="0"/>
    <x v="2"/>
    <n v="50000"/>
    <n v="0.15"/>
    <n v="85000"/>
  </r>
  <r>
    <x v="526"/>
    <x v="283"/>
    <x v="7"/>
    <x v="1"/>
    <x v="6"/>
    <x v="2"/>
    <x v="1"/>
    <n v="3000"/>
    <n v="0.1"/>
    <n v="13500"/>
  </r>
  <r>
    <x v="527"/>
    <x v="98"/>
    <x v="14"/>
    <x v="7"/>
    <x v="4"/>
    <x v="1"/>
    <x v="1"/>
    <n v="2000"/>
    <n v="0.05"/>
    <n v="9500"/>
  </r>
  <r>
    <x v="528"/>
    <x v="58"/>
    <x v="8"/>
    <x v="1"/>
    <x v="5"/>
    <x v="2"/>
    <x v="2"/>
    <n v="7000"/>
    <n v="0.15"/>
    <n v="11900"/>
  </r>
  <r>
    <x v="529"/>
    <x v="168"/>
    <x v="10"/>
    <x v="1"/>
    <x v="6"/>
    <x v="2"/>
    <x v="1"/>
    <n v="3000"/>
    <n v="0.05"/>
    <n v="14250"/>
  </r>
  <r>
    <x v="530"/>
    <x v="47"/>
    <x v="9"/>
    <x v="0"/>
    <x v="4"/>
    <x v="1"/>
    <x v="1"/>
    <n v="2000"/>
    <n v="0.05"/>
    <n v="9500"/>
  </r>
  <r>
    <x v="531"/>
    <x v="284"/>
    <x v="4"/>
    <x v="4"/>
    <x v="4"/>
    <x v="1"/>
    <x v="0"/>
    <n v="2000"/>
    <n v="0"/>
    <n v="2000"/>
  </r>
  <r>
    <x v="532"/>
    <x v="256"/>
    <x v="11"/>
    <x v="4"/>
    <x v="4"/>
    <x v="1"/>
    <x v="0"/>
    <n v="2000"/>
    <n v="0.1"/>
    <n v="1800"/>
  </r>
  <r>
    <x v="533"/>
    <x v="189"/>
    <x v="12"/>
    <x v="5"/>
    <x v="4"/>
    <x v="1"/>
    <x v="4"/>
    <n v="2000"/>
    <n v="0.1"/>
    <n v="5400"/>
  </r>
  <r>
    <x v="534"/>
    <x v="60"/>
    <x v="7"/>
    <x v="2"/>
    <x v="7"/>
    <x v="0"/>
    <x v="4"/>
    <n v="12000"/>
    <n v="0.05"/>
    <n v="34200"/>
  </r>
  <r>
    <x v="535"/>
    <x v="101"/>
    <x v="13"/>
    <x v="0"/>
    <x v="3"/>
    <x v="0"/>
    <x v="3"/>
    <n v="30000"/>
    <n v="0.1"/>
    <n v="108000"/>
  </r>
  <r>
    <x v="536"/>
    <x v="285"/>
    <x v="15"/>
    <x v="0"/>
    <x v="3"/>
    <x v="0"/>
    <x v="0"/>
    <n v="30000"/>
    <n v="0.15"/>
    <n v="25500"/>
  </r>
  <r>
    <x v="537"/>
    <x v="286"/>
    <x v="5"/>
    <x v="7"/>
    <x v="4"/>
    <x v="1"/>
    <x v="1"/>
    <n v="2000"/>
    <n v="0.05"/>
    <n v="9500"/>
  </r>
  <r>
    <x v="538"/>
    <x v="234"/>
    <x v="7"/>
    <x v="3"/>
    <x v="3"/>
    <x v="0"/>
    <x v="4"/>
    <n v="30000"/>
    <n v="0"/>
    <n v="90000"/>
  </r>
  <r>
    <x v="539"/>
    <x v="222"/>
    <x v="2"/>
    <x v="6"/>
    <x v="3"/>
    <x v="0"/>
    <x v="0"/>
    <n v="30000"/>
    <n v="0.1"/>
    <n v="27000"/>
  </r>
  <r>
    <x v="540"/>
    <x v="82"/>
    <x v="3"/>
    <x v="4"/>
    <x v="6"/>
    <x v="2"/>
    <x v="2"/>
    <n v="3000"/>
    <n v="0"/>
    <n v="6000"/>
  </r>
  <r>
    <x v="541"/>
    <x v="106"/>
    <x v="1"/>
    <x v="0"/>
    <x v="1"/>
    <x v="0"/>
    <x v="0"/>
    <n v="50000"/>
    <n v="0.15"/>
    <n v="42500"/>
  </r>
  <r>
    <x v="542"/>
    <x v="82"/>
    <x v="11"/>
    <x v="4"/>
    <x v="2"/>
    <x v="1"/>
    <x v="3"/>
    <n v="1500"/>
    <n v="0.15"/>
    <n v="5100"/>
  </r>
  <r>
    <x v="543"/>
    <x v="11"/>
    <x v="6"/>
    <x v="4"/>
    <x v="7"/>
    <x v="0"/>
    <x v="1"/>
    <n v="12000"/>
    <n v="0.05"/>
    <n v="57000"/>
  </r>
  <r>
    <x v="544"/>
    <x v="287"/>
    <x v="3"/>
    <x v="4"/>
    <x v="1"/>
    <x v="0"/>
    <x v="4"/>
    <n v="50000"/>
    <n v="0"/>
    <n v="150000"/>
  </r>
  <r>
    <x v="545"/>
    <x v="288"/>
    <x v="12"/>
    <x v="4"/>
    <x v="0"/>
    <x v="0"/>
    <x v="4"/>
    <n v="20000"/>
    <n v="0.05"/>
    <n v="57000"/>
  </r>
  <r>
    <x v="546"/>
    <x v="256"/>
    <x v="2"/>
    <x v="5"/>
    <x v="0"/>
    <x v="0"/>
    <x v="4"/>
    <n v="20000"/>
    <n v="0.15"/>
    <n v="51000"/>
  </r>
  <r>
    <x v="547"/>
    <x v="42"/>
    <x v="15"/>
    <x v="4"/>
    <x v="3"/>
    <x v="0"/>
    <x v="1"/>
    <n v="30000"/>
    <n v="0.15"/>
    <n v="127500"/>
  </r>
  <r>
    <x v="548"/>
    <x v="119"/>
    <x v="3"/>
    <x v="6"/>
    <x v="4"/>
    <x v="1"/>
    <x v="2"/>
    <n v="2000"/>
    <n v="0.05"/>
    <n v="3800"/>
  </r>
  <r>
    <x v="549"/>
    <x v="36"/>
    <x v="11"/>
    <x v="7"/>
    <x v="5"/>
    <x v="2"/>
    <x v="2"/>
    <n v="7000"/>
    <n v="0"/>
    <n v="14000"/>
  </r>
  <r>
    <x v="550"/>
    <x v="227"/>
    <x v="1"/>
    <x v="4"/>
    <x v="3"/>
    <x v="0"/>
    <x v="0"/>
    <n v="30000"/>
    <n v="0.1"/>
    <n v="27000"/>
  </r>
  <r>
    <x v="551"/>
    <x v="83"/>
    <x v="5"/>
    <x v="1"/>
    <x v="5"/>
    <x v="2"/>
    <x v="1"/>
    <n v="7000"/>
    <n v="0.15"/>
    <n v="29750"/>
  </r>
  <r>
    <x v="552"/>
    <x v="289"/>
    <x v="10"/>
    <x v="4"/>
    <x v="6"/>
    <x v="2"/>
    <x v="2"/>
    <n v="3000"/>
    <n v="0.1"/>
    <n v="5400"/>
  </r>
  <r>
    <x v="553"/>
    <x v="86"/>
    <x v="3"/>
    <x v="4"/>
    <x v="5"/>
    <x v="2"/>
    <x v="3"/>
    <n v="7000"/>
    <n v="0.15"/>
    <n v="23800"/>
  </r>
  <r>
    <x v="554"/>
    <x v="229"/>
    <x v="7"/>
    <x v="0"/>
    <x v="2"/>
    <x v="1"/>
    <x v="2"/>
    <n v="1500"/>
    <n v="0.1"/>
    <n v="2700"/>
  </r>
  <r>
    <x v="555"/>
    <x v="272"/>
    <x v="6"/>
    <x v="6"/>
    <x v="7"/>
    <x v="0"/>
    <x v="0"/>
    <n v="12000"/>
    <n v="0.1"/>
    <n v="10800"/>
  </r>
  <r>
    <x v="556"/>
    <x v="290"/>
    <x v="5"/>
    <x v="4"/>
    <x v="6"/>
    <x v="2"/>
    <x v="4"/>
    <n v="3000"/>
    <n v="0"/>
    <n v="9000"/>
  </r>
  <r>
    <x v="557"/>
    <x v="3"/>
    <x v="0"/>
    <x v="1"/>
    <x v="4"/>
    <x v="1"/>
    <x v="1"/>
    <n v="2000"/>
    <n v="0.15"/>
    <n v="8500"/>
  </r>
  <r>
    <x v="558"/>
    <x v="257"/>
    <x v="10"/>
    <x v="2"/>
    <x v="2"/>
    <x v="1"/>
    <x v="1"/>
    <n v="1500"/>
    <n v="0.15"/>
    <n v="6375"/>
  </r>
  <r>
    <x v="559"/>
    <x v="279"/>
    <x v="15"/>
    <x v="0"/>
    <x v="7"/>
    <x v="0"/>
    <x v="4"/>
    <n v="12000"/>
    <n v="0"/>
    <n v="36000"/>
  </r>
  <r>
    <x v="560"/>
    <x v="33"/>
    <x v="14"/>
    <x v="2"/>
    <x v="0"/>
    <x v="0"/>
    <x v="3"/>
    <n v="20000"/>
    <n v="0.05"/>
    <n v="76000"/>
  </r>
  <r>
    <x v="561"/>
    <x v="192"/>
    <x v="1"/>
    <x v="2"/>
    <x v="3"/>
    <x v="0"/>
    <x v="0"/>
    <n v="30000"/>
    <n v="0.15"/>
    <n v="25500"/>
  </r>
  <r>
    <x v="562"/>
    <x v="287"/>
    <x v="8"/>
    <x v="4"/>
    <x v="3"/>
    <x v="0"/>
    <x v="1"/>
    <n v="30000"/>
    <n v="0.1"/>
    <n v="135000"/>
  </r>
  <r>
    <x v="563"/>
    <x v="113"/>
    <x v="9"/>
    <x v="6"/>
    <x v="2"/>
    <x v="1"/>
    <x v="1"/>
    <n v="1500"/>
    <n v="0.15"/>
    <n v="6375"/>
  </r>
  <r>
    <x v="564"/>
    <x v="291"/>
    <x v="1"/>
    <x v="0"/>
    <x v="7"/>
    <x v="0"/>
    <x v="0"/>
    <n v="12000"/>
    <n v="0.15"/>
    <n v="10200"/>
  </r>
  <r>
    <x v="565"/>
    <x v="246"/>
    <x v="5"/>
    <x v="6"/>
    <x v="3"/>
    <x v="0"/>
    <x v="1"/>
    <n v="30000"/>
    <n v="0"/>
    <n v="150000"/>
  </r>
  <r>
    <x v="566"/>
    <x v="116"/>
    <x v="10"/>
    <x v="7"/>
    <x v="4"/>
    <x v="1"/>
    <x v="3"/>
    <n v="2000"/>
    <n v="0.1"/>
    <n v="7200"/>
  </r>
  <r>
    <x v="567"/>
    <x v="111"/>
    <x v="4"/>
    <x v="5"/>
    <x v="1"/>
    <x v="0"/>
    <x v="2"/>
    <n v="50000"/>
    <n v="0.1"/>
    <n v="90000"/>
  </r>
  <r>
    <x v="568"/>
    <x v="142"/>
    <x v="0"/>
    <x v="1"/>
    <x v="1"/>
    <x v="0"/>
    <x v="3"/>
    <n v="50000"/>
    <n v="0.1"/>
    <n v="180000"/>
  </r>
  <r>
    <x v="569"/>
    <x v="168"/>
    <x v="9"/>
    <x v="6"/>
    <x v="7"/>
    <x v="0"/>
    <x v="4"/>
    <n v="12000"/>
    <n v="0.1"/>
    <n v="32400"/>
  </r>
  <r>
    <x v="570"/>
    <x v="270"/>
    <x v="5"/>
    <x v="2"/>
    <x v="5"/>
    <x v="2"/>
    <x v="4"/>
    <n v="7000"/>
    <n v="0.15"/>
    <n v="17850"/>
  </r>
  <r>
    <x v="571"/>
    <x v="292"/>
    <x v="3"/>
    <x v="5"/>
    <x v="3"/>
    <x v="0"/>
    <x v="4"/>
    <n v="30000"/>
    <n v="0.15"/>
    <n v="76500"/>
  </r>
  <r>
    <x v="572"/>
    <x v="14"/>
    <x v="1"/>
    <x v="7"/>
    <x v="0"/>
    <x v="0"/>
    <x v="2"/>
    <n v="20000"/>
    <n v="0.15"/>
    <n v="34000"/>
  </r>
  <r>
    <x v="573"/>
    <x v="151"/>
    <x v="13"/>
    <x v="5"/>
    <x v="4"/>
    <x v="1"/>
    <x v="0"/>
    <n v="2000"/>
    <n v="0.05"/>
    <n v="1900"/>
  </r>
  <r>
    <x v="574"/>
    <x v="100"/>
    <x v="14"/>
    <x v="2"/>
    <x v="3"/>
    <x v="0"/>
    <x v="1"/>
    <n v="30000"/>
    <n v="0"/>
    <n v="150000"/>
  </r>
  <r>
    <x v="575"/>
    <x v="67"/>
    <x v="15"/>
    <x v="3"/>
    <x v="1"/>
    <x v="0"/>
    <x v="2"/>
    <n v="50000"/>
    <n v="0"/>
    <n v="100000"/>
  </r>
  <r>
    <x v="576"/>
    <x v="232"/>
    <x v="11"/>
    <x v="4"/>
    <x v="6"/>
    <x v="2"/>
    <x v="4"/>
    <n v="3000"/>
    <n v="0.1"/>
    <n v="8100"/>
  </r>
  <r>
    <x v="577"/>
    <x v="86"/>
    <x v="6"/>
    <x v="0"/>
    <x v="1"/>
    <x v="0"/>
    <x v="2"/>
    <n v="50000"/>
    <n v="0.1"/>
    <n v="90000"/>
  </r>
  <r>
    <x v="578"/>
    <x v="293"/>
    <x v="12"/>
    <x v="6"/>
    <x v="7"/>
    <x v="0"/>
    <x v="1"/>
    <n v="12000"/>
    <n v="0.1"/>
    <n v="54000"/>
  </r>
  <r>
    <x v="579"/>
    <x v="18"/>
    <x v="15"/>
    <x v="0"/>
    <x v="0"/>
    <x v="0"/>
    <x v="4"/>
    <n v="20000"/>
    <n v="0"/>
    <n v="60000"/>
  </r>
  <r>
    <x v="580"/>
    <x v="135"/>
    <x v="14"/>
    <x v="6"/>
    <x v="6"/>
    <x v="2"/>
    <x v="2"/>
    <n v="3000"/>
    <n v="0.05"/>
    <n v="5700"/>
  </r>
  <r>
    <x v="581"/>
    <x v="280"/>
    <x v="2"/>
    <x v="7"/>
    <x v="2"/>
    <x v="1"/>
    <x v="1"/>
    <n v="1500"/>
    <n v="0"/>
    <n v="7500"/>
  </r>
  <r>
    <x v="582"/>
    <x v="55"/>
    <x v="3"/>
    <x v="6"/>
    <x v="3"/>
    <x v="0"/>
    <x v="2"/>
    <n v="30000"/>
    <n v="0"/>
    <n v="60000"/>
  </r>
  <r>
    <x v="583"/>
    <x v="171"/>
    <x v="6"/>
    <x v="6"/>
    <x v="5"/>
    <x v="2"/>
    <x v="3"/>
    <n v="7000"/>
    <n v="0.15"/>
    <n v="23800"/>
  </r>
  <r>
    <x v="584"/>
    <x v="135"/>
    <x v="11"/>
    <x v="4"/>
    <x v="6"/>
    <x v="2"/>
    <x v="3"/>
    <n v="3000"/>
    <n v="0.1"/>
    <n v="10800"/>
  </r>
  <r>
    <x v="585"/>
    <x v="48"/>
    <x v="13"/>
    <x v="6"/>
    <x v="1"/>
    <x v="0"/>
    <x v="1"/>
    <n v="50000"/>
    <n v="0.1"/>
    <n v="225000"/>
  </r>
  <r>
    <x v="586"/>
    <x v="294"/>
    <x v="3"/>
    <x v="3"/>
    <x v="0"/>
    <x v="0"/>
    <x v="3"/>
    <n v="20000"/>
    <n v="0"/>
    <n v="80000"/>
  </r>
  <r>
    <x v="587"/>
    <x v="295"/>
    <x v="4"/>
    <x v="2"/>
    <x v="5"/>
    <x v="2"/>
    <x v="4"/>
    <n v="7000"/>
    <n v="0.1"/>
    <n v="18900"/>
  </r>
  <r>
    <x v="588"/>
    <x v="85"/>
    <x v="9"/>
    <x v="0"/>
    <x v="1"/>
    <x v="0"/>
    <x v="1"/>
    <n v="50000"/>
    <n v="0.15"/>
    <n v="212500"/>
  </r>
  <r>
    <x v="589"/>
    <x v="90"/>
    <x v="1"/>
    <x v="5"/>
    <x v="1"/>
    <x v="0"/>
    <x v="3"/>
    <n v="50000"/>
    <n v="0.1"/>
    <n v="180000"/>
  </r>
  <r>
    <x v="590"/>
    <x v="45"/>
    <x v="0"/>
    <x v="7"/>
    <x v="2"/>
    <x v="1"/>
    <x v="0"/>
    <n v="1500"/>
    <n v="0.05"/>
    <n v="1425"/>
  </r>
  <r>
    <x v="591"/>
    <x v="296"/>
    <x v="12"/>
    <x v="6"/>
    <x v="4"/>
    <x v="1"/>
    <x v="1"/>
    <n v="2000"/>
    <n v="0.1"/>
    <n v="9000"/>
  </r>
  <r>
    <x v="592"/>
    <x v="90"/>
    <x v="12"/>
    <x v="3"/>
    <x v="0"/>
    <x v="0"/>
    <x v="3"/>
    <n v="20000"/>
    <n v="0.05"/>
    <n v="76000"/>
  </r>
  <r>
    <x v="593"/>
    <x v="55"/>
    <x v="13"/>
    <x v="5"/>
    <x v="0"/>
    <x v="0"/>
    <x v="2"/>
    <n v="20000"/>
    <n v="0.1"/>
    <n v="36000"/>
  </r>
  <r>
    <x v="594"/>
    <x v="297"/>
    <x v="13"/>
    <x v="7"/>
    <x v="4"/>
    <x v="1"/>
    <x v="4"/>
    <n v="2000"/>
    <n v="0.1"/>
    <n v="5400"/>
  </r>
  <r>
    <x v="595"/>
    <x v="245"/>
    <x v="8"/>
    <x v="7"/>
    <x v="0"/>
    <x v="0"/>
    <x v="3"/>
    <n v="20000"/>
    <n v="0"/>
    <n v="80000"/>
  </r>
  <r>
    <x v="596"/>
    <x v="19"/>
    <x v="11"/>
    <x v="6"/>
    <x v="6"/>
    <x v="2"/>
    <x v="1"/>
    <n v="3000"/>
    <n v="0"/>
    <n v="15000"/>
  </r>
  <r>
    <x v="597"/>
    <x v="164"/>
    <x v="14"/>
    <x v="3"/>
    <x v="2"/>
    <x v="1"/>
    <x v="0"/>
    <n v="1500"/>
    <n v="0.05"/>
    <n v="1425"/>
  </r>
  <r>
    <x v="598"/>
    <x v="159"/>
    <x v="9"/>
    <x v="0"/>
    <x v="2"/>
    <x v="1"/>
    <x v="1"/>
    <n v="1500"/>
    <n v="0.15"/>
    <n v="6375"/>
  </r>
  <r>
    <x v="599"/>
    <x v="298"/>
    <x v="12"/>
    <x v="3"/>
    <x v="0"/>
    <x v="0"/>
    <x v="3"/>
    <n v="20000"/>
    <n v="0.1"/>
    <n v="72000"/>
  </r>
  <r>
    <x v="600"/>
    <x v="131"/>
    <x v="14"/>
    <x v="0"/>
    <x v="1"/>
    <x v="0"/>
    <x v="0"/>
    <n v="50000"/>
    <n v="0.15"/>
    <n v="42500"/>
  </r>
  <r>
    <x v="601"/>
    <x v="47"/>
    <x v="1"/>
    <x v="5"/>
    <x v="3"/>
    <x v="0"/>
    <x v="3"/>
    <n v="30000"/>
    <n v="0"/>
    <n v="120000"/>
  </r>
  <r>
    <x v="602"/>
    <x v="116"/>
    <x v="2"/>
    <x v="1"/>
    <x v="2"/>
    <x v="1"/>
    <x v="3"/>
    <n v="1500"/>
    <n v="0.15"/>
    <n v="5100"/>
  </r>
  <r>
    <x v="603"/>
    <x v="292"/>
    <x v="14"/>
    <x v="1"/>
    <x v="6"/>
    <x v="2"/>
    <x v="4"/>
    <n v="3000"/>
    <n v="0"/>
    <n v="9000"/>
  </r>
  <r>
    <x v="604"/>
    <x v="74"/>
    <x v="7"/>
    <x v="6"/>
    <x v="1"/>
    <x v="0"/>
    <x v="2"/>
    <n v="50000"/>
    <n v="0.05"/>
    <n v="95000"/>
  </r>
  <r>
    <x v="605"/>
    <x v="183"/>
    <x v="13"/>
    <x v="0"/>
    <x v="3"/>
    <x v="0"/>
    <x v="0"/>
    <n v="30000"/>
    <n v="0.15"/>
    <n v="25500"/>
  </r>
  <r>
    <x v="606"/>
    <x v="8"/>
    <x v="6"/>
    <x v="3"/>
    <x v="0"/>
    <x v="0"/>
    <x v="0"/>
    <n v="20000"/>
    <n v="0.1"/>
    <n v="18000"/>
  </r>
  <r>
    <x v="607"/>
    <x v="86"/>
    <x v="7"/>
    <x v="2"/>
    <x v="2"/>
    <x v="1"/>
    <x v="2"/>
    <n v="1500"/>
    <n v="0.1"/>
    <n v="2700"/>
  </r>
  <r>
    <x v="608"/>
    <x v="122"/>
    <x v="0"/>
    <x v="0"/>
    <x v="3"/>
    <x v="0"/>
    <x v="3"/>
    <n v="30000"/>
    <n v="0"/>
    <n v="120000"/>
  </r>
  <r>
    <x v="609"/>
    <x v="201"/>
    <x v="7"/>
    <x v="1"/>
    <x v="6"/>
    <x v="2"/>
    <x v="0"/>
    <n v="3000"/>
    <n v="0.05"/>
    <n v="2850"/>
  </r>
  <r>
    <x v="610"/>
    <x v="299"/>
    <x v="15"/>
    <x v="4"/>
    <x v="2"/>
    <x v="1"/>
    <x v="4"/>
    <n v="1500"/>
    <n v="0"/>
    <n v="4500"/>
  </r>
  <r>
    <x v="611"/>
    <x v="276"/>
    <x v="6"/>
    <x v="5"/>
    <x v="1"/>
    <x v="0"/>
    <x v="0"/>
    <n v="50000"/>
    <n v="0"/>
    <n v="50000"/>
  </r>
  <r>
    <x v="612"/>
    <x v="300"/>
    <x v="4"/>
    <x v="2"/>
    <x v="0"/>
    <x v="0"/>
    <x v="1"/>
    <n v="20000"/>
    <n v="0.1"/>
    <n v="90000"/>
  </r>
  <r>
    <x v="613"/>
    <x v="85"/>
    <x v="5"/>
    <x v="6"/>
    <x v="1"/>
    <x v="0"/>
    <x v="4"/>
    <n v="50000"/>
    <n v="0.15"/>
    <n v="127500"/>
  </r>
  <r>
    <x v="614"/>
    <x v="65"/>
    <x v="5"/>
    <x v="6"/>
    <x v="3"/>
    <x v="0"/>
    <x v="3"/>
    <n v="30000"/>
    <n v="0"/>
    <n v="120000"/>
  </r>
  <r>
    <x v="615"/>
    <x v="129"/>
    <x v="14"/>
    <x v="6"/>
    <x v="0"/>
    <x v="0"/>
    <x v="0"/>
    <n v="20000"/>
    <n v="0.15"/>
    <n v="17000"/>
  </r>
  <r>
    <x v="616"/>
    <x v="35"/>
    <x v="12"/>
    <x v="1"/>
    <x v="6"/>
    <x v="2"/>
    <x v="4"/>
    <n v="3000"/>
    <n v="0.15"/>
    <n v="7650"/>
  </r>
  <r>
    <x v="617"/>
    <x v="75"/>
    <x v="0"/>
    <x v="1"/>
    <x v="7"/>
    <x v="0"/>
    <x v="2"/>
    <n v="12000"/>
    <n v="0.15"/>
    <n v="20400"/>
  </r>
  <r>
    <x v="618"/>
    <x v="96"/>
    <x v="10"/>
    <x v="0"/>
    <x v="1"/>
    <x v="0"/>
    <x v="0"/>
    <n v="50000"/>
    <n v="0"/>
    <n v="50000"/>
  </r>
  <r>
    <x v="619"/>
    <x v="94"/>
    <x v="3"/>
    <x v="2"/>
    <x v="0"/>
    <x v="0"/>
    <x v="1"/>
    <n v="20000"/>
    <n v="0"/>
    <n v="100000"/>
  </r>
  <r>
    <x v="620"/>
    <x v="232"/>
    <x v="15"/>
    <x v="4"/>
    <x v="7"/>
    <x v="0"/>
    <x v="4"/>
    <n v="12000"/>
    <n v="0.1"/>
    <n v="32400"/>
  </r>
  <r>
    <x v="621"/>
    <x v="237"/>
    <x v="9"/>
    <x v="5"/>
    <x v="3"/>
    <x v="0"/>
    <x v="0"/>
    <n v="30000"/>
    <n v="0.1"/>
    <n v="27000"/>
  </r>
  <r>
    <x v="622"/>
    <x v="301"/>
    <x v="4"/>
    <x v="0"/>
    <x v="0"/>
    <x v="0"/>
    <x v="0"/>
    <n v="20000"/>
    <n v="0"/>
    <n v="20000"/>
  </r>
  <r>
    <x v="623"/>
    <x v="302"/>
    <x v="3"/>
    <x v="4"/>
    <x v="4"/>
    <x v="1"/>
    <x v="4"/>
    <n v="2000"/>
    <n v="0.15"/>
    <n v="5100"/>
  </r>
  <r>
    <x v="624"/>
    <x v="258"/>
    <x v="11"/>
    <x v="5"/>
    <x v="4"/>
    <x v="1"/>
    <x v="4"/>
    <n v="2000"/>
    <n v="0.05"/>
    <n v="5700"/>
  </r>
  <r>
    <x v="625"/>
    <x v="142"/>
    <x v="10"/>
    <x v="5"/>
    <x v="7"/>
    <x v="0"/>
    <x v="4"/>
    <n v="12000"/>
    <n v="0.15"/>
    <n v="30600"/>
  </r>
  <r>
    <x v="626"/>
    <x v="270"/>
    <x v="15"/>
    <x v="0"/>
    <x v="3"/>
    <x v="0"/>
    <x v="0"/>
    <n v="30000"/>
    <n v="0.05"/>
    <n v="28500"/>
  </r>
  <r>
    <x v="627"/>
    <x v="38"/>
    <x v="6"/>
    <x v="0"/>
    <x v="0"/>
    <x v="0"/>
    <x v="3"/>
    <n v="20000"/>
    <n v="0.15"/>
    <n v="68000"/>
  </r>
  <r>
    <x v="628"/>
    <x v="12"/>
    <x v="4"/>
    <x v="7"/>
    <x v="2"/>
    <x v="1"/>
    <x v="4"/>
    <n v="1500"/>
    <n v="0"/>
    <n v="4500"/>
  </r>
  <r>
    <x v="629"/>
    <x v="272"/>
    <x v="15"/>
    <x v="4"/>
    <x v="7"/>
    <x v="0"/>
    <x v="0"/>
    <n v="12000"/>
    <n v="0.15"/>
    <n v="10200"/>
  </r>
  <r>
    <x v="630"/>
    <x v="256"/>
    <x v="0"/>
    <x v="3"/>
    <x v="5"/>
    <x v="2"/>
    <x v="4"/>
    <n v="7000"/>
    <n v="0"/>
    <n v="21000"/>
  </r>
  <r>
    <x v="631"/>
    <x v="303"/>
    <x v="7"/>
    <x v="5"/>
    <x v="0"/>
    <x v="0"/>
    <x v="3"/>
    <n v="20000"/>
    <n v="0.05"/>
    <n v="76000"/>
  </r>
  <r>
    <x v="632"/>
    <x v="304"/>
    <x v="12"/>
    <x v="7"/>
    <x v="3"/>
    <x v="0"/>
    <x v="1"/>
    <n v="30000"/>
    <n v="0"/>
    <n v="150000"/>
  </r>
  <r>
    <x v="633"/>
    <x v="305"/>
    <x v="9"/>
    <x v="2"/>
    <x v="7"/>
    <x v="0"/>
    <x v="2"/>
    <n v="12000"/>
    <n v="0"/>
    <n v="24000"/>
  </r>
  <r>
    <x v="634"/>
    <x v="21"/>
    <x v="0"/>
    <x v="5"/>
    <x v="4"/>
    <x v="1"/>
    <x v="4"/>
    <n v="2000"/>
    <n v="0"/>
    <n v="6000"/>
  </r>
  <r>
    <x v="635"/>
    <x v="306"/>
    <x v="6"/>
    <x v="7"/>
    <x v="2"/>
    <x v="1"/>
    <x v="2"/>
    <n v="1500"/>
    <n v="0"/>
    <n v="3000"/>
  </r>
  <r>
    <x v="636"/>
    <x v="261"/>
    <x v="5"/>
    <x v="7"/>
    <x v="0"/>
    <x v="0"/>
    <x v="3"/>
    <n v="20000"/>
    <n v="0.15"/>
    <n v="68000"/>
  </r>
  <r>
    <x v="637"/>
    <x v="52"/>
    <x v="15"/>
    <x v="1"/>
    <x v="1"/>
    <x v="0"/>
    <x v="0"/>
    <n v="50000"/>
    <n v="0.15"/>
    <n v="42500"/>
  </r>
  <r>
    <x v="638"/>
    <x v="307"/>
    <x v="14"/>
    <x v="7"/>
    <x v="0"/>
    <x v="0"/>
    <x v="1"/>
    <n v="20000"/>
    <n v="0.1"/>
    <n v="90000"/>
  </r>
  <r>
    <x v="639"/>
    <x v="55"/>
    <x v="6"/>
    <x v="3"/>
    <x v="4"/>
    <x v="1"/>
    <x v="4"/>
    <n v="2000"/>
    <n v="0"/>
    <n v="6000"/>
  </r>
  <r>
    <x v="640"/>
    <x v="258"/>
    <x v="5"/>
    <x v="2"/>
    <x v="7"/>
    <x v="0"/>
    <x v="4"/>
    <n v="12000"/>
    <n v="0.15"/>
    <n v="30600"/>
  </r>
  <r>
    <x v="641"/>
    <x v="245"/>
    <x v="13"/>
    <x v="3"/>
    <x v="1"/>
    <x v="0"/>
    <x v="4"/>
    <n v="50000"/>
    <n v="0.1"/>
    <n v="135000"/>
  </r>
  <r>
    <x v="642"/>
    <x v="308"/>
    <x v="4"/>
    <x v="5"/>
    <x v="0"/>
    <x v="0"/>
    <x v="0"/>
    <n v="20000"/>
    <n v="0.05"/>
    <n v="19000"/>
  </r>
  <r>
    <x v="643"/>
    <x v="295"/>
    <x v="5"/>
    <x v="5"/>
    <x v="0"/>
    <x v="0"/>
    <x v="4"/>
    <n v="20000"/>
    <n v="0.05"/>
    <n v="57000"/>
  </r>
  <r>
    <x v="644"/>
    <x v="134"/>
    <x v="5"/>
    <x v="5"/>
    <x v="6"/>
    <x v="2"/>
    <x v="3"/>
    <n v="3000"/>
    <n v="0.05"/>
    <n v="11400"/>
  </r>
  <r>
    <x v="645"/>
    <x v="88"/>
    <x v="6"/>
    <x v="0"/>
    <x v="1"/>
    <x v="0"/>
    <x v="1"/>
    <n v="50000"/>
    <n v="0"/>
    <n v="250000"/>
  </r>
  <r>
    <x v="646"/>
    <x v="44"/>
    <x v="1"/>
    <x v="7"/>
    <x v="7"/>
    <x v="0"/>
    <x v="0"/>
    <n v="12000"/>
    <n v="0"/>
    <n v="12000"/>
  </r>
  <r>
    <x v="647"/>
    <x v="200"/>
    <x v="5"/>
    <x v="5"/>
    <x v="3"/>
    <x v="0"/>
    <x v="1"/>
    <n v="30000"/>
    <n v="0.05"/>
    <n v="142500"/>
  </r>
  <r>
    <x v="648"/>
    <x v="215"/>
    <x v="0"/>
    <x v="6"/>
    <x v="4"/>
    <x v="1"/>
    <x v="1"/>
    <n v="2000"/>
    <n v="0.15"/>
    <n v="8500"/>
  </r>
  <r>
    <x v="649"/>
    <x v="148"/>
    <x v="4"/>
    <x v="0"/>
    <x v="2"/>
    <x v="1"/>
    <x v="4"/>
    <n v="1500"/>
    <n v="0.1"/>
    <n v="4050"/>
  </r>
  <r>
    <x v="650"/>
    <x v="158"/>
    <x v="9"/>
    <x v="2"/>
    <x v="2"/>
    <x v="1"/>
    <x v="1"/>
    <n v="1500"/>
    <n v="0.1"/>
    <n v="6750"/>
  </r>
  <r>
    <x v="651"/>
    <x v="309"/>
    <x v="7"/>
    <x v="0"/>
    <x v="6"/>
    <x v="2"/>
    <x v="2"/>
    <n v="3000"/>
    <n v="0.1"/>
    <n v="5400"/>
  </r>
  <r>
    <x v="652"/>
    <x v="202"/>
    <x v="5"/>
    <x v="3"/>
    <x v="3"/>
    <x v="0"/>
    <x v="1"/>
    <n v="30000"/>
    <n v="0.1"/>
    <n v="135000"/>
  </r>
  <r>
    <x v="653"/>
    <x v="310"/>
    <x v="13"/>
    <x v="5"/>
    <x v="7"/>
    <x v="0"/>
    <x v="1"/>
    <n v="12000"/>
    <n v="0.15"/>
    <n v="51000"/>
  </r>
  <r>
    <x v="654"/>
    <x v="66"/>
    <x v="11"/>
    <x v="0"/>
    <x v="1"/>
    <x v="0"/>
    <x v="1"/>
    <n v="50000"/>
    <n v="0"/>
    <n v="250000"/>
  </r>
  <r>
    <x v="655"/>
    <x v="53"/>
    <x v="12"/>
    <x v="6"/>
    <x v="1"/>
    <x v="0"/>
    <x v="0"/>
    <n v="50000"/>
    <n v="0.05"/>
    <n v="47500"/>
  </r>
  <r>
    <x v="656"/>
    <x v="142"/>
    <x v="13"/>
    <x v="2"/>
    <x v="5"/>
    <x v="2"/>
    <x v="2"/>
    <n v="7000"/>
    <n v="0"/>
    <n v="14000"/>
  </r>
  <r>
    <x v="657"/>
    <x v="84"/>
    <x v="0"/>
    <x v="5"/>
    <x v="1"/>
    <x v="0"/>
    <x v="4"/>
    <n v="50000"/>
    <n v="0.15"/>
    <n v="127500"/>
  </r>
  <r>
    <x v="658"/>
    <x v="311"/>
    <x v="15"/>
    <x v="5"/>
    <x v="6"/>
    <x v="2"/>
    <x v="1"/>
    <n v="3000"/>
    <n v="0.1"/>
    <n v="13500"/>
  </r>
  <r>
    <x v="659"/>
    <x v="113"/>
    <x v="15"/>
    <x v="1"/>
    <x v="2"/>
    <x v="1"/>
    <x v="3"/>
    <n v="1500"/>
    <n v="0.1"/>
    <n v="5400"/>
  </r>
  <r>
    <x v="660"/>
    <x v="177"/>
    <x v="7"/>
    <x v="2"/>
    <x v="5"/>
    <x v="2"/>
    <x v="2"/>
    <n v="7000"/>
    <n v="0.15"/>
    <n v="11900"/>
  </r>
  <r>
    <x v="661"/>
    <x v="68"/>
    <x v="8"/>
    <x v="0"/>
    <x v="6"/>
    <x v="2"/>
    <x v="4"/>
    <n v="3000"/>
    <n v="0.15"/>
    <n v="7650"/>
  </r>
  <r>
    <x v="662"/>
    <x v="244"/>
    <x v="15"/>
    <x v="5"/>
    <x v="3"/>
    <x v="0"/>
    <x v="1"/>
    <n v="30000"/>
    <n v="0"/>
    <n v="150000"/>
  </r>
  <r>
    <x v="663"/>
    <x v="47"/>
    <x v="12"/>
    <x v="6"/>
    <x v="5"/>
    <x v="2"/>
    <x v="1"/>
    <n v="7000"/>
    <n v="0.1"/>
    <n v="31500"/>
  </r>
  <r>
    <x v="664"/>
    <x v="202"/>
    <x v="4"/>
    <x v="1"/>
    <x v="1"/>
    <x v="0"/>
    <x v="4"/>
    <n v="50000"/>
    <n v="0.15"/>
    <n v="127500"/>
  </r>
  <r>
    <x v="665"/>
    <x v="103"/>
    <x v="13"/>
    <x v="7"/>
    <x v="3"/>
    <x v="0"/>
    <x v="4"/>
    <n v="30000"/>
    <n v="0"/>
    <n v="90000"/>
  </r>
  <r>
    <x v="666"/>
    <x v="312"/>
    <x v="0"/>
    <x v="0"/>
    <x v="4"/>
    <x v="1"/>
    <x v="0"/>
    <n v="2000"/>
    <n v="0.1"/>
    <n v="1800"/>
  </r>
  <r>
    <x v="667"/>
    <x v="115"/>
    <x v="11"/>
    <x v="4"/>
    <x v="0"/>
    <x v="0"/>
    <x v="1"/>
    <n v="20000"/>
    <n v="0.05"/>
    <n v="95000"/>
  </r>
  <r>
    <x v="668"/>
    <x v="43"/>
    <x v="9"/>
    <x v="3"/>
    <x v="4"/>
    <x v="1"/>
    <x v="2"/>
    <n v="2000"/>
    <n v="0.05"/>
    <n v="3800"/>
  </r>
  <r>
    <x v="669"/>
    <x v="259"/>
    <x v="10"/>
    <x v="1"/>
    <x v="4"/>
    <x v="1"/>
    <x v="4"/>
    <n v="2000"/>
    <n v="0.05"/>
    <n v="5700"/>
  </r>
  <r>
    <x v="670"/>
    <x v="185"/>
    <x v="0"/>
    <x v="1"/>
    <x v="0"/>
    <x v="0"/>
    <x v="4"/>
    <n v="20000"/>
    <n v="0.15"/>
    <n v="51000"/>
  </r>
  <r>
    <x v="671"/>
    <x v="18"/>
    <x v="3"/>
    <x v="6"/>
    <x v="4"/>
    <x v="1"/>
    <x v="3"/>
    <n v="2000"/>
    <n v="0"/>
    <n v="8000"/>
  </r>
  <r>
    <x v="672"/>
    <x v="207"/>
    <x v="6"/>
    <x v="7"/>
    <x v="1"/>
    <x v="0"/>
    <x v="1"/>
    <n v="50000"/>
    <n v="0.1"/>
    <n v="225000"/>
  </r>
  <r>
    <x v="673"/>
    <x v="292"/>
    <x v="8"/>
    <x v="4"/>
    <x v="1"/>
    <x v="0"/>
    <x v="4"/>
    <n v="50000"/>
    <n v="0.05"/>
    <n v="142500"/>
  </r>
  <r>
    <x v="674"/>
    <x v="103"/>
    <x v="8"/>
    <x v="2"/>
    <x v="3"/>
    <x v="0"/>
    <x v="1"/>
    <n v="30000"/>
    <n v="0"/>
    <n v="150000"/>
  </r>
  <r>
    <x v="675"/>
    <x v="266"/>
    <x v="1"/>
    <x v="4"/>
    <x v="6"/>
    <x v="2"/>
    <x v="3"/>
    <n v="3000"/>
    <n v="0"/>
    <n v="12000"/>
  </r>
  <r>
    <x v="676"/>
    <x v="75"/>
    <x v="15"/>
    <x v="4"/>
    <x v="3"/>
    <x v="0"/>
    <x v="0"/>
    <n v="30000"/>
    <n v="0.15"/>
    <n v="25500"/>
  </r>
  <r>
    <x v="677"/>
    <x v="249"/>
    <x v="8"/>
    <x v="2"/>
    <x v="0"/>
    <x v="0"/>
    <x v="0"/>
    <n v="20000"/>
    <n v="0.05"/>
    <n v="19000"/>
  </r>
  <r>
    <x v="678"/>
    <x v="88"/>
    <x v="11"/>
    <x v="5"/>
    <x v="5"/>
    <x v="2"/>
    <x v="3"/>
    <n v="7000"/>
    <n v="0.15"/>
    <n v="23800"/>
  </r>
  <r>
    <x v="679"/>
    <x v="313"/>
    <x v="5"/>
    <x v="1"/>
    <x v="4"/>
    <x v="1"/>
    <x v="0"/>
    <n v="2000"/>
    <n v="0.15"/>
    <n v="1700"/>
  </r>
  <r>
    <x v="680"/>
    <x v="228"/>
    <x v="8"/>
    <x v="3"/>
    <x v="0"/>
    <x v="0"/>
    <x v="1"/>
    <n v="20000"/>
    <n v="0"/>
    <n v="100000"/>
  </r>
  <r>
    <x v="681"/>
    <x v="59"/>
    <x v="8"/>
    <x v="6"/>
    <x v="0"/>
    <x v="0"/>
    <x v="4"/>
    <n v="20000"/>
    <n v="0.1"/>
    <n v="54000"/>
  </r>
  <r>
    <x v="682"/>
    <x v="85"/>
    <x v="2"/>
    <x v="7"/>
    <x v="7"/>
    <x v="0"/>
    <x v="3"/>
    <n v="12000"/>
    <n v="0.15"/>
    <n v="40800"/>
  </r>
  <r>
    <x v="683"/>
    <x v="189"/>
    <x v="11"/>
    <x v="6"/>
    <x v="3"/>
    <x v="0"/>
    <x v="1"/>
    <n v="30000"/>
    <n v="0.05"/>
    <n v="142500"/>
  </r>
  <r>
    <x v="684"/>
    <x v="304"/>
    <x v="4"/>
    <x v="4"/>
    <x v="3"/>
    <x v="0"/>
    <x v="4"/>
    <n v="30000"/>
    <n v="0.1"/>
    <n v="81000"/>
  </r>
  <r>
    <x v="685"/>
    <x v="314"/>
    <x v="8"/>
    <x v="6"/>
    <x v="1"/>
    <x v="0"/>
    <x v="0"/>
    <n v="50000"/>
    <n v="0.15"/>
    <n v="42500"/>
  </r>
  <r>
    <x v="686"/>
    <x v="52"/>
    <x v="4"/>
    <x v="0"/>
    <x v="6"/>
    <x v="2"/>
    <x v="4"/>
    <n v="3000"/>
    <n v="0.05"/>
    <n v="8550"/>
  </r>
  <r>
    <x v="687"/>
    <x v="315"/>
    <x v="5"/>
    <x v="0"/>
    <x v="3"/>
    <x v="0"/>
    <x v="2"/>
    <n v="30000"/>
    <n v="0.1"/>
    <n v="54000"/>
  </r>
  <r>
    <x v="688"/>
    <x v="273"/>
    <x v="8"/>
    <x v="6"/>
    <x v="1"/>
    <x v="0"/>
    <x v="1"/>
    <n v="50000"/>
    <n v="0.15"/>
    <n v="212500"/>
  </r>
  <r>
    <x v="689"/>
    <x v="129"/>
    <x v="10"/>
    <x v="3"/>
    <x v="0"/>
    <x v="0"/>
    <x v="4"/>
    <n v="20000"/>
    <n v="0"/>
    <n v="60000"/>
  </r>
  <r>
    <x v="690"/>
    <x v="94"/>
    <x v="13"/>
    <x v="4"/>
    <x v="4"/>
    <x v="1"/>
    <x v="2"/>
    <n v="2000"/>
    <n v="0.05"/>
    <n v="3800"/>
  </r>
  <r>
    <x v="691"/>
    <x v="88"/>
    <x v="9"/>
    <x v="6"/>
    <x v="6"/>
    <x v="2"/>
    <x v="4"/>
    <n v="3000"/>
    <n v="0.15"/>
    <n v="7650"/>
  </r>
  <r>
    <x v="692"/>
    <x v="261"/>
    <x v="1"/>
    <x v="0"/>
    <x v="3"/>
    <x v="0"/>
    <x v="1"/>
    <n v="30000"/>
    <n v="0.1"/>
    <n v="135000"/>
  </r>
  <r>
    <x v="693"/>
    <x v="54"/>
    <x v="1"/>
    <x v="6"/>
    <x v="1"/>
    <x v="0"/>
    <x v="4"/>
    <n v="50000"/>
    <n v="0.05"/>
    <n v="142500"/>
  </r>
  <r>
    <x v="694"/>
    <x v="199"/>
    <x v="6"/>
    <x v="7"/>
    <x v="4"/>
    <x v="1"/>
    <x v="2"/>
    <n v="2000"/>
    <n v="0.1"/>
    <n v="3600"/>
  </r>
  <r>
    <x v="695"/>
    <x v="113"/>
    <x v="5"/>
    <x v="0"/>
    <x v="4"/>
    <x v="1"/>
    <x v="4"/>
    <n v="2000"/>
    <n v="0.15"/>
    <n v="5100"/>
  </r>
  <r>
    <x v="696"/>
    <x v="314"/>
    <x v="14"/>
    <x v="6"/>
    <x v="0"/>
    <x v="0"/>
    <x v="4"/>
    <n v="20000"/>
    <n v="0.05"/>
    <n v="57000"/>
  </r>
  <r>
    <x v="697"/>
    <x v="21"/>
    <x v="2"/>
    <x v="5"/>
    <x v="0"/>
    <x v="0"/>
    <x v="0"/>
    <n v="20000"/>
    <n v="0"/>
    <n v="20000"/>
  </r>
  <r>
    <x v="698"/>
    <x v="190"/>
    <x v="10"/>
    <x v="0"/>
    <x v="6"/>
    <x v="2"/>
    <x v="0"/>
    <n v="3000"/>
    <n v="0.1"/>
    <n v="2700"/>
  </r>
  <r>
    <x v="699"/>
    <x v="3"/>
    <x v="13"/>
    <x v="0"/>
    <x v="4"/>
    <x v="1"/>
    <x v="3"/>
    <n v="2000"/>
    <n v="0.05"/>
    <n v="7600"/>
  </r>
  <r>
    <x v="700"/>
    <x v="219"/>
    <x v="7"/>
    <x v="1"/>
    <x v="7"/>
    <x v="0"/>
    <x v="1"/>
    <n v="12000"/>
    <n v="0"/>
    <n v="60000"/>
  </r>
  <r>
    <x v="701"/>
    <x v="207"/>
    <x v="4"/>
    <x v="7"/>
    <x v="6"/>
    <x v="2"/>
    <x v="1"/>
    <n v="3000"/>
    <n v="0.05"/>
    <n v="14250"/>
  </r>
  <r>
    <x v="702"/>
    <x v="205"/>
    <x v="7"/>
    <x v="1"/>
    <x v="3"/>
    <x v="0"/>
    <x v="2"/>
    <n v="30000"/>
    <n v="0.05"/>
    <n v="57000"/>
  </r>
  <r>
    <x v="703"/>
    <x v="147"/>
    <x v="3"/>
    <x v="3"/>
    <x v="6"/>
    <x v="2"/>
    <x v="3"/>
    <n v="3000"/>
    <n v="0.05"/>
    <n v="11400"/>
  </r>
  <r>
    <x v="704"/>
    <x v="112"/>
    <x v="7"/>
    <x v="5"/>
    <x v="6"/>
    <x v="2"/>
    <x v="0"/>
    <n v="3000"/>
    <n v="0.05"/>
    <n v="2850"/>
  </r>
  <r>
    <x v="705"/>
    <x v="175"/>
    <x v="9"/>
    <x v="4"/>
    <x v="7"/>
    <x v="0"/>
    <x v="3"/>
    <n v="12000"/>
    <n v="0"/>
    <n v="48000"/>
  </r>
  <r>
    <x v="706"/>
    <x v="288"/>
    <x v="11"/>
    <x v="3"/>
    <x v="5"/>
    <x v="2"/>
    <x v="4"/>
    <n v="7000"/>
    <n v="0.05"/>
    <n v="19950"/>
  </r>
  <r>
    <x v="707"/>
    <x v="288"/>
    <x v="0"/>
    <x v="5"/>
    <x v="0"/>
    <x v="0"/>
    <x v="1"/>
    <n v="20000"/>
    <n v="0.1"/>
    <n v="90000"/>
  </r>
  <r>
    <x v="708"/>
    <x v="303"/>
    <x v="2"/>
    <x v="0"/>
    <x v="4"/>
    <x v="1"/>
    <x v="4"/>
    <n v="2000"/>
    <n v="0.15"/>
    <n v="5100"/>
  </r>
  <r>
    <x v="709"/>
    <x v="72"/>
    <x v="3"/>
    <x v="2"/>
    <x v="7"/>
    <x v="0"/>
    <x v="2"/>
    <n v="12000"/>
    <n v="0.05"/>
    <n v="22800"/>
  </r>
  <r>
    <x v="710"/>
    <x v="16"/>
    <x v="5"/>
    <x v="2"/>
    <x v="3"/>
    <x v="0"/>
    <x v="2"/>
    <n v="30000"/>
    <n v="0.05"/>
    <n v="57000"/>
  </r>
  <r>
    <x v="711"/>
    <x v="303"/>
    <x v="10"/>
    <x v="7"/>
    <x v="2"/>
    <x v="1"/>
    <x v="4"/>
    <n v="1500"/>
    <n v="0"/>
    <n v="4500"/>
  </r>
  <r>
    <x v="712"/>
    <x v="104"/>
    <x v="1"/>
    <x v="1"/>
    <x v="6"/>
    <x v="2"/>
    <x v="1"/>
    <n v="3000"/>
    <n v="0.05"/>
    <n v="14250"/>
  </r>
  <r>
    <x v="713"/>
    <x v="96"/>
    <x v="12"/>
    <x v="0"/>
    <x v="6"/>
    <x v="2"/>
    <x v="0"/>
    <n v="3000"/>
    <n v="0.05"/>
    <n v="2850"/>
  </r>
  <r>
    <x v="714"/>
    <x v="225"/>
    <x v="12"/>
    <x v="6"/>
    <x v="1"/>
    <x v="0"/>
    <x v="1"/>
    <n v="50000"/>
    <n v="0.05"/>
    <n v="237500"/>
  </r>
  <r>
    <x v="715"/>
    <x v="163"/>
    <x v="2"/>
    <x v="6"/>
    <x v="3"/>
    <x v="0"/>
    <x v="1"/>
    <n v="30000"/>
    <n v="0.15"/>
    <n v="127500"/>
  </r>
  <r>
    <x v="716"/>
    <x v="59"/>
    <x v="10"/>
    <x v="7"/>
    <x v="0"/>
    <x v="0"/>
    <x v="2"/>
    <n v="20000"/>
    <n v="0.15"/>
    <n v="34000"/>
  </r>
  <r>
    <x v="717"/>
    <x v="316"/>
    <x v="4"/>
    <x v="0"/>
    <x v="3"/>
    <x v="0"/>
    <x v="2"/>
    <n v="30000"/>
    <n v="0.15"/>
    <n v="51000"/>
  </r>
  <r>
    <x v="718"/>
    <x v="9"/>
    <x v="8"/>
    <x v="2"/>
    <x v="5"/>
    <x v="2"/>
    <x v="2"/>
    <n v="7000"/>
    <n v="0.1"/>
    <n v="12600"/>
  </r>
  <r>
    <x v="719"/>
    <x v="156"/>
    <x v="2"/>
    <x v="2"/>
    <x v="2"/>
    <x v="1"/>
    <x v="3"/>
    <n v="1500"/>
    <n v="0.05"/>
    <n v="5700"/>
  </r>
  <r>
    <x v="720"/>
    <x v="68"/>
    <x v="10"/>
    <x v="1"/>
    <x v="2"/>
    <x v="1"/>
    <x v="2"/>
    <n v="1500"/>
    <n v="0"/>
    <n v="3000"/>
  </r>
  <r>
    <x v="721"/>
    <x v="29"/>
    <x v="4"/>
    <x v="1"/>
    <x v="0"/>
    <x v="0"/>
    <x v="0"/>
    <n v="20000"/>
    <n v="0.15"/>
    <n v="17000"/>
  </r>
  <r>
    <x v="722"/>
    <x v="49"/>
    <x v="15"/>
    <x v="5"/>
    <x v="2"/>
    <x v="1"/>
    <x v="1"/>
    <n v="1500"/>
    <n v="0.15"/>
    <n v="6375"/>
  </r>
  <r>
    <x v="723"/>
    <x v="82"/>
    <x v="5"/>
    <x v="5"/>
    <x v="6"/>
    <x v="2"/>
    <x v="3"/>
    <n v="3000"/>
    <n v="0.15"/>
    <n v="10200"/>
  </r>
  <r>
    <x v="724"/>
    <x v="2"/>
    <x v="8"/>
    <x v="6"/>
    <x v="3"/>
    <x v="0"/>
    <x v="4"/>
    <n v="30000"/>
    <n v="0.15"/>
    <n v="76500"/>
  </r>
  <r>
    <x v="725"/>
    <x v="317"/>
    <x v="2"/>
    <x v="4"/>
    <x v="2"/>
    <x v="1"/>
    <x v="4"/>
    <n v="1500"/>
    <n v="0.05"/>
    <n v="4275"/>
  </r>
  <r>
    <x v="726"/>
    <x v="101"/>
    <x v="9"/>
    <x v="5"/>
    <x v="1"/>
    <x v="0"/>
    <x v="3"/>
    <n v="50000"/>
    <n v="0.05"/>
    <n v="190000"/>
  </r>
  <r>
    <x v="727"/>
    <x v="318"/>
    <x v="3"/>
    <x v="6"/>
    <x v="4"/>
    <x v="1"/>
    <x v="0"/>
    <n v="2000"/>
    <n v="0.05"/>
    <n v="1900"/>
  </r>
  <r>
    <x v="728"/>
    <x v="319"/>
    <x v="3"/>
    <x v="5"/>
    <x v="2"/>
    <x v="1"/>
    <x v="1"/>
    <n v="1500"/>
    <n v="0.1"/>
    <n v="6750"/>
  </r>
  <r>
    <x v="729"/>
    <x v="243"/>
    <x v="7"/>
    <x v="7"/>
    <x v="6"/>
    <x v="2"/>
    <x v="3"/>
    <n v="3000"/>
    <n v="0.15"/>
    <n v="10200"/>
  </r>
  <r>
    <x v="730"/>
    <x v="102"/>
    <x v="11"/>
    <x v="0"/>
    <x v="5"/>
    <x v="2"/>
    <x v="4"/>
    <n v="7000"/>
    <n v="0.1"/>
    <n v="18900"/>
  </r>
  <r>
    <x v="731"/>
    <x v="228"/>
    <x v="12"/>
    <x v="4"/>
    <x v="0"/>
    <x v="0"/>
    <x v="2"/>
    <n v="20000"/>
    <n v="0.15"/>
    <n v="34000"/>
  </r>
  <r>
    <x v="732"/>
    <x v="134"/>
    <x v="15"/>
    <x v="0"/>
    <x v="6"/>
    <x v="2"/>
    <x v="1"/>
    <n v="3000"/>
    <n v="0.15"/>
    <n v="12750"/>
  </r>
  <r>
    <x v="733"/>
    <x v="239"/>
    <x v="10"/>
    <x v="5"/>
    <x v="2"/>
    <x v="1"/>
    <x v="0"/>
    <n v="1500"/>
    <n v="0"/>
    <n v="1500"/>
  </r>
  <r>
    <x v="734"/>
    <x v="54"/>
    <x v="7"/>
    <x v="4"/>
    <x v="0"/>
    <x v="0"/>
    <x v="0"/>
    <n v="20000"/>
    <n v="0.1"/>
    <n v="18000"/>
  </r>
  <r>
    <x v="735"/>
    <x v="193"/>
    <x v="13"/>
    <x v="1"/>
    <x v="1"/>
    <x v="0"/>
    <x v="3"/>
    <n v="50000"/>
    <n v="0.15"/>
    <n v="170000"/>
  </r>
  <r>
    <x v="736"/>
    <x v="304"/>
    <x v="14"/>
    <x v="6"/>
    <x v="3"/>
    <x v="0"/>
    <x v="3"/>
    <n v="30000"/>
    <n v="0.15"/>
    <n v="102000"/>
  </r>
  <r>
    <x v="737"/>
    <x v="193"/>
    <x v="12"/>
    <x v="1"/>
    <x v="6"/>
    <x v="2"/>
    <x v="0"/>
    <n v="3000"/>
    <n v="0.05"/>
    <n v="2850"/>
  </r>
  <r>
    <x v="738"/>
    <x v="42"/>
    <x v="8"/>
    <x v="6"/>
    <x v="4"/>
    <x v="1"/>
    <x v="2"/>
    <n v="2000"/>
    <n v="0"/>
    <n v="4000"/>
  </r>
  <r>
    <x v="739"/>
    <x v="63"/>
    <x v="14"/>
    <x v="1"/>
    <x v="2"/>
    <x v="1"/>
    <x v="4"/>
    <n v="1500"/>
    <n v="0.15"/>
    <n v="3825"/>
  </r>
  <r>
    <x v="740"/>
    <x v="226"/>
    <x v="7"/>
    <x v="3"/>
    <x v="0"/>
    <x v="0"/>
    <x v="0"/>
    <n v="20000"/>
    <n v="0.1"/>
    <n v="18000"/>
  </r>
  <r>
    <x v="741"/>
    <x v="9"/>
    <x v="11"/>
    <x v="1"/>
    <x v="5"/>
    <x v="2"/>
    <x v="2"/>
    <n v="7000"/>
    <n v="0.05"/>
    <n v="13300"/>
  </r>
  <r>
    <x v="742"/>
    <x v="21"/>
    <x v="5"/>
    <x v="4"/>
    <x v="5"/>
    <x v="2"/>
    <x v="2"/>
    <n v="7000"/>
    <n v="0.15"/>
    <n v="11900"/>
  </r>
  <r>
    <x v="743"/>
    <x v="320"/>
    <x v="3"/>
    <x v="6"/>
    <x v="5"/>
    <x v="2"/>
    <x v="4"/>
    <n v="7000"/>
    <n v="0"/>
    <n v="21000"/>
  </r>
  <r>
    <x v="744"/>
    <x v="28"/>
    <x v="9"/>
    <x v="7"/>
    <x v="7"/>
    <x v="0"/>
    <x v="3"/>
    <n v="12000"/>
    <n v="0.15"/>
    <n v="40800"/>
  </r>
  <r>
    <x v="745"/>
    <x v="303"/>
    <x v="5"/>
    <x v="6"/>
    <x v="7"/>
    <x v="0"/>
    <x v="1"/>
    <n v="12000"/>
    <n v="0"/>
    <n v="60000"/>
  </r>
  <r>
    <x v="746"/>
    <x v="135"/>
    <x v="0"/>
    <x v="3"/>
    <x v="0"/>
    <x v="0"/>
    <x v="3"/>
    <n v="20000"/>
    <n v="0.05"/>
    <n v="76000"/>
  </r>
  <r>
    <x v="747"/>
    <x v="228"/>
    <x v="3"/>
    <x v="2"/>
    <x v="2"/>
    <x v="1"/>
    <x v="4"/>
    <n v="1500"/>
    <n v="0"/>
    <n v="4500"/>
  </r>
  <r>
    <x v="748"/>
    <x v="313"/>
    <x v="9"/>
    <x v="4"/>
    <x v="5"/>
    <x v="2"/>
    <x v="0"/>
    <n v="7000"/>
    <n v="0.15"/>
    <n v="5950"/>
  </r>
  <r>
    <x v="749"/>
    <x v="51"/>
    <x v="14"/>
    <x v="6"/>
    <x v="3"/>
    <x v="0"/>
    <x v="3"/>
    <n v="30000"/>
    <n v="0.1"/>
    <n v="108000"/>
  </r>
  <r>
    <x v="750"/>
    <x v="83"/>
    <x v="0"/>
    <x v="2"/>
    <x v="3"/>
    <x v="0"/>
    <x v="2"/>
    <n v="30000"/>
    <n v="0.15"/>
    <n v="51000"/>
  </r>
  <r>
    <x v="751"/>
    <x v="321"/>
    <x v="0"/>
    <x v="3"/>
    <x v="5"/>
    <x v="2"/>
    <x v="2"/>
    <n v="7000"/>
    <n v="0.05"/>
    <n v="13300"/>
  </r>
  <r>
    <x v="752"/>
    <x v="192"/>
    <x v="10"/>
    <x v="1"/>
    <x v="3"/>
    <x v="0"/>
    <x v="0"/>
    <n v="30000"/>
    <n v="0"/>
    <n v="30000"/>
  </r>
  <r>
    <x v="753"/>
    <x v="138"/>
    <x v="9"/>
    <x v="7"/>
    <x v="1"/>
    <x v="0"/>
    <x v="3"/>
    <n v="50000"/>
    <n v="0.1"/>
    <n v="180000"/>
  </r>
  <r>
    <x v="754"/>
    <x v="65"/>
    <x v="3"/>
    <x v="5"/>
    <x v="5"/>
    <x v="2"/>
    <x v="3"/>
    <n v="7000"/>
    <n v="0.05"/>
    <n v="26600"/>
  </r>
  <r>
    <x v="755"/>
    <x v="30"/>
    <x v="1"/>
    <x v="7"/>
    <x v="6"/>
    <x v="2"/>
    <x v="1"/>
    <n v="3000"/>
    <n v="0.05"/>
    <n v="14250"/>
  </r>
  <r>
    <x v="756"/>
    <x v="80"/>
    <x v="12"/>
    <x v="7"/>
    <x v="1"/>
    <x v="0"/>
    <x v="1"/>
    <n v="50000"/>
    <n v="0.1"/>
    <n v="225000"/>
  </r>
  <r>
    <x v="757"/>
    <x v="261"/>
    <x v="2"/>
    <x v="1"/>
    <x v="0"/>
    <x v="0"/>
    <x v="1"/>
    <n v="20000"/>
    <n v="0.15"/>
    <n v="85000"/>
  </r>
  <r>
    <x v="758"/>
    <x v="252"/>
    <x v="7"/>
    <x v="6"/>
    <x v="6"/>
    <x v="2"/>
    <x v="3"/>
    <n v="3000"/>
    <n v="0"/>
    <n v="12000"/>
  </r>
  <r>
    <x v="759"/>
    <x v="234"/>
    <x v="3"/>
    <x v="7"/>
    <x v="3"/>
    <x v="0"/>
    <x v="1"/>
    <n v="30000"/>
    <n v="0.1"/>
    <n v="135000"/>
  </r>
  <r>
    <x v="760"/>
    <x v="195"/>
    <x v="1"/>
    <x v="2"/>
    <x v="4"/>
    <x v="1"/>
    <x v="4"/>
    <n v="2000"/>
    <n v="0.05"/>
    <n v="5700"/>
  </r>
  <r>
    <x v="761"/>
    <x v="13"/>
    <x v="3"/>
    <x v="7"/>
    <x v="2"/>
    <x v="1"/>
    <x v="4"/>
    <n v="1500"/>
    <n v="0.1"/>
    <n v="4050"/>
  </r>
  <r>
    <x v="762"/>
    <x v="260"/>
    <x v="0"/>
    <x v="4"/>
    <x v="3"/>
    <x v="0"/>
    <x v="1"/>
    <n v="30000"/>
    <n v="0.05"/>
    <n v="142500"/>
  </r>
  <r>
    <x v="763"/>
    <x v="229"/>
    <x v="14"/>
    <x v="0"/>
    <x v="5"/>
    <x v="2"/>
    <x v="2"/>
    <n v="7000"/>
    <n v="0.15"/>
    <n v="11900"/>
  </r>
  <r>
    <x v="764"/>
    <x v="68"/>
    <x v="1"/>
    <x v="7"/>
    <x v="3"/>
    <x v="0"/>
    <x v="3"/>
    <n v="30000"/>
    <n v="0"/>
    <n v="120000"/>
  </r>
  <r>
    <x v="765"/>
    <x v="322"/>
    <x v="13"/>
    <x v="6"/>
    <x v="3"/>
    <x v="0"/>
    <x v="1"/>
    <n v="30000"/>
    <n v="0.1"/>
    <n v="135000"/>
  </r>
  <r>
    <x v="766"/>
    <x v="142"/>
    <x v="12"/>
    <x v="1"/>
    <x v="1"/>
    <x v="0"/>
    <x v="3"/>
    <n v="50000"/>
    <n v="0"/>
    <n v="200000"/>
  </r>
  <r>
    <x v="767"/>
    <x v="323"/>
    <x v="5"/>
    <x v="7"/>
    <x v="6"/>
    <x v="2"/>
    <x v="4"/>
    <n v="3000"/>
    <n v="0.15"/>
    <n v="7650"/>
  </r>
  <r>
    <x v="768"/>
    <x v="237"/>
    <x v="3"/>
    <x v="3"/>
    <x v="4"/>
    <x v="1"/>
    <x v="4"/>
    <n v="2000"/>
    <n v="0.1"/>
    <n v="5400"/>
  </r>
  <r>
    <x v="769"/>
    <x v="82"/>
    <x v="14"/>
    <x v="0"/>
    <x v="1"/>
    <x v="0"/>
    <x v="3"/>
    <n v="50000"/>
    <n v="0"/>
    <n v="200000"/>
  </r>
  <r>
    <x v="770"/>
    <x v="313"/>
    <x v="10"/>
    <x v="7"/>
    <x v="5"/>
    <x v="2"/>
    <x v="4"/>
    <n v="7000"/>
    <n v="0.1"/>
    <n v="18900"/>
  </r>
  <r>
    <x v="771"/>
    <x v="232"/>
    <x v="4"/>
    <x v="0"/>
    <x v="0"/>
    <x v="0"/>
    <x v="3"/>
    <n v="20000"/>
    <n v="0.1"/>
    <n v="72000"/>
  </r>
  <r>
    <x v="772"/>
    <x v="271"/>
    <x v="8"/>
    <x v="0"/>
    <x v="4"/>
    <x v="1"/>
    <x v="3"/>
    <n v="2000"/>
    <n v="0.15"/>
    <n v="6800"/>
  </r>
  <r>
    <x v="773"/>
    <x v="121"/>
    <x v="13"/>
    <x v="6"/>
    <x v="4"/>
    <x v="1"/>
    <x v="2"/>
    <n v="2000"/>
    <n v="0.1"/>
    <n v="3600"/>
  </r>
  <r>
    <x v="774"/>
    <x v="16"/>
    <x v="6"/>
    <x v="5"/>
    <x v="2"/>
    <x v="1"/>
    <x v="4"/>
    <n v="1500"/>
    <n v="0.15"/>
    <n v="3825"/>
  </r>
  <r>
    <x v="775"/>
    <x v="324"/>
    <x v="0"/>
    <x v="6"/>
    <x v="3"/>
    <x v="0"/>
    <x v="2"/>
    <n v="30000"/>
    <n v="0"/>
    <n v="60000"/>
  </r>
  <r>
    <x v="776"/>
    <x v="219"/>
    <x v="5"/>
    <x v="4"/>
    <x v="0"/>
    <x v="0"/>
    <x v="2"/>
    <n v="20000"/>
    <n v="0.05"/>
    <n v="38000"/>
  </r>
  <r>
    <x v="777"/>
    <x v="107"/>
    <x v="11"/>
    <x v="4"/>
    <x v="0"/>
    <x v="0"/>
    <x v="3"/>
    <n v="20000"/>
    <n v="0"/>
    <n v="80000"/>
  </r>
  <r>
    <x v="778"/>
    <x v="23"/>
    <x v="11"/>
    <x v="6"/>
    <x v="0"/>
    <x v="0"/>
    <x v="4"/>
    <n v="20000"/>
    <n v="0.05"/>
    <n v="57000"/>
  </r>
  <r>
    <x v="779"/>
    <x v="161"/>
    <x v="4"/>
    <x v="0"/>
    <x v="6"/>
    <x v="2"/>
    <x v="2"/>
    <n v="3000"/>
    <n v="0.1"/>
    <n v="5400"/>
  </r>
  <r>
    <x v="780"/>
    <x v="43"/>
    <x v="7"/>
    <x v="3"/>
    <x v="3"/>
    <x v="0"/>
    <x v="0"/>
    <n v="30000"/>
    <n v="0"/>
    <n v="30000"/>
  </r>
  <r>
    <x v="781"/>
    <x v="70"/>
    <x v="6"/>
    <x v="0"/>
    <x v="7"/>
    <x v="0"/>
    <x v="3"/>
    <n v="12000"/>
    <n v="0.1"/>
    <n v="43200"/>
  </r>
  <r>
    <x v="782"/>
    <x v="298"/>
    <x v="1"/>
    <x v="6"/>
    <x v="3"/>
    <x v="0"/>
    <x v="1"/>
    <n v="30000"/>
    <n v="0.15"/>
    <n v="127500"/>
  </r>
  <r>
    <x v="783"/>
    <x v="325"/>
    <x v="6"/>
    <x v="6"/>
    <x v="4"/>
    <x v="1"/>
    <x v="3"/>
    <n v="2000"/>
    <n v="0.05"/>
    <n v="7600"/>
  </r>
  <r>
    <x v="784"/>
    <x v="326"/>
    <x v="13"/>
    <x v="1"/>
    <x v="4"/>
    <x v="1"/>
    <x v="3"/>
    <n v="2000"/>
    <n v="0.1"/>
    <n v="7200"/>
  </r>
  <r>
    <x v="785"/>
    <x v="293"/>
    <x v="13"/>
    <x v="7"/>
    <x v="1"/>
    <x v="0"/>
    <x v="1"/>
    <n v="50000"/>
    <n v="0.05"/>
    <n v="237500"/>
  </r>
  <r>
    <x v="786"/>
    <x v="251"/>
    <x v="2"/>
    <x v="5"/>
    <x v="1"/>
    <x v="0"/>
    <x v="3"/>
    <n v="50000"/>
    <n v="0.15"/>
    <n v="170000"/>
  </r>
  <r>
    <x v="787"/>
    <x v="327"/>
    <x v="7"/>
    <x v="2"/>
    <x v="5"/>
    <x v="2"/>
    <x v="1"/>
    <n v="7000"/>
    <n v="0.05"/>
    <n v="33250"/>
  </r>
  <r>
    <x v="788"/>
    <x v="279"/>
    <x v="0"/>
    <x v="0"/>
    <x v="2"/>
    <x v="1"/>
    <x v="1"/>
    <n v="1500"/>
    <n v="0.15"/>
    <n v="6375"/>
  </r>
  <r>
    <x v="789"/>
    <x v="264"/>
    <x v="8"/>
    <x v="5"/>
    <x v="2"/>
    <x v="1"/>
    <x v="3"/>
    <n v="1500"/>
    <n v="0.05"/>
    <n v="5700"/>
  </r>
  <r>
    <x v="790"/>
    <x v="328"/>
    <x v="3"/>
    <x v="5"/>
    <x v="6"/>
    <x v="2"/>
    <x v="1"/>
    <n v="3000"/>
    <n v="0.1"/>
    <n v="13500"/>
  </r>
  <r>
    <x v="791"/>
    <x v="189"/>
    <x v="13"/>
    <x v="4"/>
    <x v="6"/>
    <x v="2"/>
    <x v="0"/>
    <n v="3000"/>
    <n v="0.05"/>
    <n v="2850"/>
  </r>
  <r>
    <x v="792"/>
    <x v="78"/>
    <x v="10"/>
    <x v="2"/>
    <x v="7"/>
    <x v="0"/>
    <x v="1"/>
    <n v="12000"/>
    <n v="0.15"/>
    <n v="51000"/>
  </r>
  <r>
    <x v="793"/>
    <x v="36"/>
    <x v="2"/>
    <x v="0"/>
    <x v="4"/>
    <x v="1"/>
    <x v="0"/>
    <n v="2000"/>
    <n v="0.05"/>
    <n v="1900"/>
  </r>
  <r>
    <x v="794"/>
    <x v="324"/>
    <x v="6"/>
    <x v="1"/>
    <x v="0"/>
    <x v="0"/>
    <x v="4"/>
    <n v="20000"/>
    <n v="0.1"/>
    <n v="54000"/>
  </r>
  <r>
    <x v="795"/>
    <x v="146"/>
    <x v="10"/>
    <x v="2"/>
    <x v="6"/>
    <x v="2"/>
    <x v="0"/>
    <n v="3000"/>
    <n v="0.05"/>
    <n v="2850"/>
  </r>
  <r>
    <x v="796"/>
    <x v="195"/>
    <x v="7"/>
    <x v="7"/>
    <x v="4"/>
    <x v="1"/>
    <x v="3"/>
    <n v="2000"/>
    <n v="0.1"/>
    <n v="7200"/>
  </r>
  <r>
    <x v="797"/>
    <x v="239"/>
    <x v="15"/>
    <x v="6"/>
    <x v="1"/>
    <x v="0"/>
    <x v="4"/>
    <n v="50000"/>
    <n v="0"/>
    <n v="150000"/>
  </r>
  <r>
    <x v="798"/>
    <x v="281"/>
    <x v="14"/>
    <x v="6"/>
    <x v="2"/>
    <x v="1"/>
    <x v="0"/>
    <n v="1500"/>
    <n v="0.15"/>
    <n v="1275"/>
  </r>
  <r>
    <x v="799"/>
    <x v="31"/>
    <x v="11"/>
    <x v="7"/>
    <x v="2"/>
    <x v="1"/>
    <x v="0"/>
    <n v="1500"/>
    <n v="0"/>
    <n v="1500"/>
  </r>
  <r>
    <x v="800"/>
    <x v="306"/>
    <x v="5"/>
    <x v="2"/>
    <x v="6"/>
    <x v="2"/>
    <x v="0"/>
    <n v="3000"/>
    <n v="0.05"/>
    <n v="2850"/>
  </r>
  <r>
    <x v="801"/>
    <x v="221"/>
    <x v="12"/>
    <x v="1"/>
    <x v="7"/>
    <x v="0"/>
    <x v="3"/>
    <n v="12000"/>
    <n v="0.1"/>
    <n v="43200"/>
  </r>
  <r>
    <x v="802"/>
    <x v="137"/>
    <x v="13"/>
    <x v="2"/>
    <x v="0"/>
    <x v="0"/>
    <x v="4"/>
    <n v="20000"/>
    <n v="0.15"/>
    <n v="51000"/>
  </r>
  <r>
    <x v="803"/>
    <x v="291"/>
    <x v="0"/>
    <x v="5"/>
    <x v="4"/>
    <x v="1"/>
    <x v="0"/>
    <n v="2000"/>
    <n v="0.05"/>
    <n v="1900"/>
  </r>
  <r>
    <x v="804"/>
    <x v="143"/>
    <x v="5"/>
    <x v="5"/>
    <x v="4"/>
    <x v="1"/>
    <x v="0"/>
    <n v="2000"/>
    <n v="0.05"/>
    <n v="1900"/>
  </r>
  <r>
    <x v="805"/>
    <x v="268"/>
    <x v="10"/>
    <x v="0"/>
    <x v="6"/>
    <x v="2"/>
    <x v="0"/>
    <n v="3000"/>
    <n v="0"/>
    <n v="3000"/>
  </r>
  <r>
    <x v="806"/>
    <x v="42"/>
    <x v="10"/>
    <x v="4"/>
    <x v="4"/>
    <x v="1"/>
    <x v="0"/>
    <n v="2000"/>
    <n v="0.05"/>
    <n v="1900"/>
  </r>
  <r>
    <x v="807"/>
    <x v="191"/>
    <x v="4"/>
    <x v="4"/>
    <x v="4"/>
    <x v="1"/>
    <x v="0"/>
    <n v="2000"/>
    <n v="0"/>
    <n v="2000"/>
  </r>
  <r>
    <x v="808"/>
    <x v="121"/>
    <x v="7"/>
    <x v="7"/>
    <x v="3"/>
    <x v="0"/>
    <x v="3"/>
    <n v="30000"/>
    <n v="0.05"/>
    <n v="114000"/>
  </r>
  <r>
    <x v="809"/>
    <x v="329"/>
    <x v="4"/>
    <x v="6"/>
    <x v="6"/>
    <x v="2"/>
    <x v="0"/>
    <n v="3000"/>
    <n v="0.15"/>
    <n v="2550"/>
  </r>
  <r>
    <x v="810"/>
    <x v="226"/>
    <x v="13"/>
    <x v="7"/>
    <x v="1"/>
    <x v="0"/>
    <x v="3"/>
    <n v="50000"/>
    <n v="0.15"/>
    <n v="170000"/>
  </r>
  <r>
    <x v="811"/>
    <x v="190"/>
    <x v="7"/>
    <x v="3"/>
    <x v="6"/>
    <x v="2"/>
    <x v="1"/>
    <n v="3000"/>
    <n v="0.05"/>
    <n v="14250"/>
  </r>
  <r>
    <x v="812"/>
    <x v="56"/>
    <x v="4"/>
    <x v="7"/>
    <x v="7"/>
    <x v="0"/>
    <x v="4"/>
    <n v="12000"/>
    <n v="0.05"/>
    <n v="34200"/>
  </r>
  <r>
    <x v="813"/>
    <x v="9"/>
    <x v="2"/>
    <x v="5"/>
    <x v="5"/>
    <x v="2"/>
    <x v="4"/>
    <n v="7000"/>
    <n v="0.1"/>
    <n v="18900"/>
  </r>
  <r>
    <x v="814"/>
    <x v="138"/>
    <x v="0"/>
    <x v="3"/>
    <x v="3"/>
    <x v="0"/>
    <x v="0"/>
    <n v="30000"/>
    <n v="0.1"/>
    <n v="27000"/>
  </r>
  <r>
    <x v="815"/>
    <x v="330"/>
    <x v="10"/>
    <x v="0"/>
    <x v="0"/>
    <x v="0"/>
    <x v="1"/>
    <n v="20000"/>
    <n v="0.15"/>
    <n v="85000"/>
  </r>
  <r>
    <x v="816"/>
    <x v="144"/>
    <x v="9"/>
    <x v="4"/>
    <x v="5"/>
    <x v="2"/>
    <x v="4"/>
    <n v="7000"/>
    <n v="0.15"/>
    <n v="17850"/>
  </r>
  <r>
    <x v="817"/>
    <x v="6"/>
    <x v="4"/>
    <x v="0"/>
    <x v="0"/>
    <x v="0"/>
    <x v="1"/>
    <n v="20000"/>
    <n v="0"/>
    <n v="100000"/>
  </r>
  <r>
    <x v="818"/>
    <x v="331"/>
    <x v="14"/>
    <x v="4"/>
    <x v="1"/>
    <x v="0"/>
    <x v="2"/>
    <n v="50000"/>
    <n v="0"/>
    <n v="100000"/>
  </r>
  <r>
    <x v="819"/>
    <x v="332"/>
    <x v="10"/>
    <x v="6"/>
    <x v="1"/>
    <x v="0"/>
    <x v="1"/>
    <n v="50000"/>
    <n v="0.15"/>
    <n v="212500"/>
  </r>
  <r>
    <x v="820"/>
    <x v="59"/>
    <x v="8"/>
    <x v="1"/>
    <x v="1"/>
    <x v="0"/>
    <x v="4"/>
    <n v="50000"/>
    <n v="0.05"/>
    <n v="142500"/>
  </r>
  <r>
    <x v="821"/>
    <x v="198"/>
    <x v="15"/>
    <x v="3"/>
    <x v="6"/>
    <x v="2"/>
    <x v="3"/>
    <n v="3000"/>
    <n v="0"/>
    <n v="12000"/>
  </r>
  <r>
    <x v="822"/>
    <x v="333"/>
    <x v="3"/>
    <x v="1"/>
    <x v="2"/>
    <x v="1"/>
    <x v="4"/>
    <n v="1500"/>
    <n v="0"/>
    <n v="4500"/>
  </r>
  <r>
    <x v="823"/>
    <x v="162"/>
    <x v="5"/>
    <x v="4"/>
    <x v="0"/>
    <x v="0"/>
    <x v="4"/>
    <n v="20000"/>
    <n v="0"/>
    <n v="60000"/>
  </r>
  <r>
    <x v="824"/>
    <x v="330"/>
    <x v="14"/>
    <x v="2"/>
    <x v="6"/>
    <x v="2"/>
    <x v="1"/>
    <n v="3000"/>
    <n v="0.15"/>
    <n v="12750"/>
  </r>
  <r>
    <x v="825"/>
    <x v="246"/>
    <x v="7"/>
    <x v="7"/>
    <x v="3"/>
    <x v="0"/>
    <x v="1"/>
    <n v="30000"/>
    <n v="0.15"/>
    <n v="127500"/>
  </r>
  <r>
    <x v="826"/>
    <x v="281"/>
    <x v="11"/>
    <x v="3"/>
    <x v="2"/>
    <x v="1"/>
    <x v="0"/>
    <n v="1500"/>
    <n v="0.05"/>
    <n v="1425"/>
  </r>
  <r>
    <x v="827"/>
    <x v="93"/>
    <x v="9"/>
    <x v="3"/>
    <x v="3"/>
    <x v="0"/>
    <x v="1"/>
    <n v="30000"/>
    <n v="0.15"/>
    <n v="127500"/>
  </r>
  <r>
    <x v="828"/>
    <x v="221"/>
    <x v="0"/>
    <x v="2"/>
    <x v="4"/>
    <x v="1"/>
    <x v="3"/>
    <n v="2000"/>
    <n v="0.15"/>
    <n v="6800"/>
  </r>
  <r>
    <x v="829"/>
    <x v="237"/>
    <x v="6"/>
    <x v="7"/>
    <x v="2"/>
    <x v="1"/>
    <x v="1"/>
    <n v="1500"/>
    <n v="0.1"/>
    <n v="6750"/>
  </r>
  <r>
    <x v="830"/>
    <x v="328"/>
    <x v="2"/>
    <x v="0"/>
    <x v="2"/>
    <x v="1"/>
    <x v="0"/>
    <n v="1500"/>
    <n v="0"/>
    <n v="1500"/>
  </r>
  <r>
    <x v="831"/>
    <x v="54"/>
    <x v="14"/>
    <x v="3"/>
    <x v="5"/>
    <x v="2"/>
    <x v="0"/>
    <n v="7000"/>
    <n v="0.1"/>
    <n v="6300"/>
  </r>
  <r>
    <x v="832"/>
    <x v="334"/>
    <x v="15"/>
    <x v="7"/>
    <x v="1"/>
    <x v="0"/>
    <x v="4"/>
    <n v="50000"/>
    <n v="0.05"/>
    <n v="142500"/>
  </r>
  <r>
    <x v="833"/>
    <x v="136"/>
    <x v="7"/>
    <x v="2"/>
    <x v="4"/>
    <x v="1"/>
    <x v="2"/>
    <n v="2000"/>
    <n v="0.05"/>
    <n v="3800"/>
  </r>
  <r>
    <x v="834"/>
    <x v="46"/>
    <x v="11"/>
    <x v="2"/>
    <x v="6"/>
    <x v="2"/>
    <x v="4"/>
    <n v="3000"/>
    <n v="0.1"/>
    <n v="8100"/>
  </r>
  <r>
    <x v="835"/>
    <x v="100"/>
    <x v="10"/>
    <x v="4"/>
    <x v="0"/>
    <x v="0"/>
    <x v="4"/>
    <n v="20000"/>
    <n v="0.15"/>
    <n v="51000"/>
  </r>
  <r>
    <x v="836"/>
    <x v="192"/>
    <x v="15"/>
    <x v="3"/>
    <x v="5"/>
    <x v="2"/>
    <x v="0"/>
    <n v="7000"/>
    <n v="0.15"/>
    <n v="5950"/>
  </r>
  <r>
    <x v="837"/>
    <x v="26"/>
    <x v="0"/>
    <x v="1"/>
    <x v="4"/>
    <x v="1"/>
    <x v="3"/>
    <n v="2000"/>
    <n v="0.15"/>
    <n v="6800"/>
  </r>
  <r>
    <x v="838"/>
    <x v="170"/>
    <x v="15"/>
    <x v="3"/>
    <x v="2"/>
    <x v="1"/>
    <x v="0"/>
    <n v="1500"/>
    <n v="0.1"/>
    <n v="1350"/>
  </r>
  <r>
    <x v="839"/>
    <x v="178"/>
    <x v="15"/>
    <x v="5"/>
    <x v="3"/>
    <x v="0"/>
    <x v="4"/>
    <n v="30000"/>
    <n v="0.05"/>
    <n v="85500"/>
  </r>
  <r>
    <x v="840"/>
    <x v="54"/>
    <x v="1"/>
    <x v="6"/>
    <x v="7"/>
    <x v="0"/>
    <x v="1"/>
    <n v="12000"/>
    <n v="0"/>
    <n v="60000"/>
  </r>
  <r>
    <x v="841"/>
    <x v="294"/>
    <x v="8"/>
    <x v="7"/>
    <x v="2"/>
    <x v="1"/>
    <x v="2"/>
    <n v="1500"/>
    <n v="0.05"/>
    <n v="2850"/>
  </r>
  <r>
    <x v="842"/>
    <x v="264"/>
    <x v="8"/>
    <x v="5"/>
    <x v="1"/>
    <x v="0"/>
    <x v="1"/>
    <n v="50000"/>
    <n v="0.15"/>
    <n v="212500"/>
  </r>
  <r>
    <x v="843"/>
    <x v="303"/>
    <x v="14"/>
    <x v="7"/>
    <x v="2"/>
    <x v="1"/>
    <x v="2"/>
    <n v="1500"/>
    <n v="0.05"/>
    <n v="2850"/>
  </r>
  <r>
    <x v="844"/>
    <x v="48"/>
    <x v="0"/>
    <x v="2"/>
    <x v="2"/>
    <x v="1"/>
    <x v="1"/>
    <n v="1500"/>
    <n v="0.05"/>
    <n v="7125"/>
  </r>
  <r>
    <x v="845"/>
    <x v="221"/>
    <x v="8"/>
    <x v="4"/>
    <x v="0"/>
    <x v="0"/>
    <x v="4"/>
    <n v="20000"/>
    <n v="0.15"/>
    <n v="51000"/>
  </r>
  <r>
    <x v="846"/>
    <x v="171"/>
    <x v="14"/>
    <x v="3"/>
    <x v="2"/>
    <x v="1"/>
    <x v="3"/>
    <n v="1500"/>
    <n v="0.1"/>
    <n v="5400"/>
  </r>
  <r>
    <x v="847"/>
    <x v="335"/>
    <x v="12"/>
    <x v="3"/>
    <x v="4"/>
    <x v="1"/>
    <x v="1"/>
    <n v="2000"/>
    <n v="0"/>
    <n v="10000"/>
  </r>
  <r>
    <x v="848"/>
    <x v="272"/>
    <x v="15"/>
    <x v="2"/>
    <x v="7"/>
    <x v="0"/>
    <x v="1"/>
    <n v="12000"/>
    <n v="0.05"/>
    <n v="57000"/>
  </r>
  <r>
    <x v="849"/>
    <x v="23"/>
    <x v="5"/>
    <x v="1"/>
    <x v="6"/>
    <x v="2"/>
    <x v="4"/>
    <n v="3000"/>
    <n v="0.05"/>
    <n v="8550"/>
  </r>
  <r>
    <x v="850"/>
    <x v="216"/>
    <x v="2"/>
    <x v="3"/>
    <x v="6"/>
    <x v="2"/>
    <x v="1"/>
    <n v="3000"/>
    <n v="0.05"/>
    <n v="14250"/>
  </r>
  <r>
    <x v="851"/>
    <x v="336"/>
    <x v="2"/>
    <x v="3"/>
    <x v="0"/>
    <x v="0"/>
    <x v="4"/>
    <n v="20000"/>
    <n v="0.15"/>
    <n v="51000"/>
  </r>
  <r>
    <x v="852"/>
    <x v="238"/>
    <x v="3"/>
    <x v="7"/>
    <x v="6"/>
    <x v="2"/>
    <x v="1"/>
    <n v="3000"/>
    <n v="0.05"/>
    <n v="14250"/>
  </r>
  <r>
    <x v="853"/>
    <x v="337"/>
    <x v="15"/>
    <x v="6"/>
    <x v="3"/>
    <x v="0"/>
    <x v="0"/>
    <n v="30000"/>
    <n v="0.15"/>
    <n v="25500"/>
  </r>
  <r>
    <x v="854"/>
    <x v="83"/>
    <x v="3"/>
    <x v="1"/>
    <x v="3"/>
    <x v="0"/>
    <x v="0"/>
    <n v="30000"/>
    <n v="0.1"/>
    <n v="27000"/>
  </r>
  <r>
    <x v="855"/>
    <x v="141"/>
    <x v="3"/>
    <x v="3"/>
    <x v="7"/>
    <x v="0"/>
    <x v="0"/>
    <n v="12000"/>
    <n v="0"/>
    <n v="12000"/>
  </r>
  <r>
    <x v="856"/>
    <x v="139"/>
    <x v="11"/>
    <x v="2"/>
    <x v="0"/>
    <x v="0"/>
    <x v="0"/>
    <n v="20000"/>
    <n v="0.1"/>
    <n v="18000"/>
  </r>
  <r>
    <x v="857"/>
    <x v="261"/>
    <x v="10"/>
    <x v="4"/>
    <x v="2"/>
    <x v="1"/>
    <x v="1"/>
    <n v="1500"/>
    <n v="0"/>
    <n v="7500"/>
  </r>
  <r>
    <x v="858"/>
    <x v="48"/>
    <x v="2"/>
    <x v="1"/>
    <x v="3"/>
    <x v="0"/>
    <x v="2"/>
    <n v="30000"/>
    <n v="0.15"/>
    <n v="51000"/>
  </r>
  <r>
    <x v="859"/>
    <x v="110"/>
    <x v="10"/>
    <x v="5"/>
    <x v="6"/>
    <x v="2"/>
    <x v="1"/>
    <n v="3000"/>
    <n v="0.1"/>
    <n v="13500"/>
  </r>
  <r>
    <x v="860"/>
    <x v="12"/>
    <x v="7"/>
    <x v="3"/>
    <x v="3"/>
    <x v="0"/>
    <x v="0"/>
    <n v="30000"/>
    <n v="0.1"/>
    <n v="27000"/>
  </r>
  <r>
    <x v="861"/>
    <x v="149"/>
    <x v="3"/>
    <x v="5"/>
    <x v="5"/>
    <x v="2"/>
    <x v="2"/>
    <n v="7000"/>
    <n v="0.1"/>
    <n v="12600"/>
  </r>
  <r>
    <x v="862"/>
    <x v="177"/>
    <x v="4"/>
    <x v="3"/>
    <x v="1"/>
    <x v="0"/>
    <x v="1"/>
    <n v="50000"/>
    <n v="0.1"/>
    <n v="225000"/>
  </r>
  <r>
    <x v="863"/>
    <x v="229"/>
    <x v="0"/>
    <x v="5"/>
    <x v="2"/>
    <x v="1"/>
    <x v="2"/>
    <n v="1500"/>
    <n v="0"/>
    <n v="3000"/>
  </r>
  <r>
    <x v="864"/>
    <x v="318"/>
    <x v="13"/>
    <x v="3"/>
    <x v="6"/>
    <x v="2"/>
    <x v="1"/>
    <n v="3000"/>
    <n v="0.05"/>
    <n v="14250"/>
  </r>
  <r>
    <x v="865"/>
    <x v="266"/>
    <x v="4"/>
    <x v="2"/>
    <x v="7"/>
    <x v="0"/>
    <x v="1"/>
    <n v="12000"/>
    <n v="0.05"/>
    <n v="57000"/>
  </r>
  <r>
    <x v="866"/>
    <x v="152"/>
    <x v="4"/>
    <x v="0"/>
    <x v="3"/>
    <x v="0"/>
    <x v="4"/>
    <n v="30000"/>
    <n v="0.05"/>
    <n v="85500"/>
  </r>
  <r>
    <x v="867"/>
    <x v="97"/>
    <x v="9"/>
    <x v="0"/>
    <x v="4"/>
    <x v="1"/>
    <x v="0"/>
    <n v="2000"/>
    <n v="0"/>
    <n v="2000"/>
  </r>
  <r>
    <x v="868"/>
    <x v="179"/>
    <x v="13"/>
    <x v="7"/>
    <x v="1"/>
    <x v="0"/>
    <x v="4"/>
    <n v="50000"/>
    <n v="0.15"/>
    <n v="127500"/>
  </r>
  <r>
    <x v="869"/>
    <x v="246"/>
    <x v="4"/>
    <x v="0"/>
    <x v="5"/>
    <x v="2"/>
    <x v="2"/>
    <n v="7000"/>
    <n v="0.05"/>
    <n v="13300"/>
  </r>
  <r>
    <x v="870"/>
    <x v="59"/>
    <x v="0"/>
    <x v="2"/>
    <x v="1"/>
    <x v="0"/>
    <x v="1"/>
    <n v="50000"/>
    <n v="0.1"/>
    <n v="225000"/>
  </r>
  <r>
    <x v="871"/>
    <x v="192"/>
    <x v="10"/>
    <x v="0"/>
    <x v="6"/>
    <x v="2"/>
    <x v="0"/>
    <n v="3000"/>
    <n v="0.1"/>
    <n v="2700"/>
  </r>
  <r>
    <x v="872"/>
    <x v="141"/>
    <x v="10"/>
    <x v="7"/>
    <x v="7"/>
    <x v="0"/>
    <x v="4"/>
    <n v="12000"/>
    <n v="0.05"/>
    <n v="34200"/>
  </r>
  <r>
    <x v="873"/>
    <x v="177"/>
    <x v="15"/>
    <x v="5"/>
    <x v="3"/>
    <x v="0"/>
    <x v="2"/>
    <n v="30000"/>
    <n v="0.05"/>
    <n v="57000"/>
  </r>
  <r>
    <x v="874"/>
    <x v="54"/>
    <x v="14"/>
    <x v="2"/>
    <x v="1"/>
    <x v="0"/>
    <x v="4"/>
    <n v="50000"/>
    <n v="0.15"/>
    <n v="127500"/>
  </r>
  <r>
    <x v="875"/>
    <x v="333"/>
    <x v="10"/>
    <x v="3"/>
    <x v="0"/>
    <x v="0"/>
    <x v="2"/>
    <n v="20000"/>
    <n v="0.15"/>
    <n v="34000"/>
  </r>
  <r>
    <x v="876"/>
    <x v="63"/>
    <x v="15"/>
    <x v="5"/>
    <x v="7"/>
    <x v="0"/>
    <x v="2"/>
    <n v="12000"/>
    <n v="0.15"/>
    <n v="20400"/>
  </r>
  <r>
    <x v="877"/>
    <x v="277"/>
    <x v="5"/>
    <x v="7"/>
    <x v="4"/>
    <x v="1"/>
    <x v="3"/>
    <n v="2000"/>
    <n v="0"/>
    <n v="8000"/>
  </r>
  <r>
    <x v="878"/>
    <x v="112"/>
    <x v="11"/>
    <x v="1"/>
    <x v="7"/>
    <x v="0"/>
    <x v="0"/>
    <n v="12000"/>
    <n v="0.05"/>
    <n v="11400"/>
  </r>
  <r>
    <x v="879"/>
    <x v="330"/>
    <x v="13"/>
    <x v="7"/>
    <x v="2"/>
    <x v="1"/>
    <x v="1"/>
    <n v="1500"/>
    <n v="0"/>
    <n v="7500"/>
  </r>
  <r>
    <x v="880"/>
    <x v="338"/>
    <x v="12"/>
    <x v="5"/>
    <x v="2"/>
    <x v="1"/>
    <x v="4"/>
    <n v="1500"/>
    <n v="0.1"/>
    <n v="4050"/>
  </r>
  <r>
    <x v="881"/>
    <x v="142"/>
    <x v="4"/>
    <x v="7"/>
    <x v="5"/>
    <x v="2"/>
    <x v="1"/>
    <n v="7000"/>
    <n v="0"/>
    <n v="35000"/>
  </r>
  <r>
    <x v="882"/>
    <x v="281"/>
    <x v="4"/>
    <x v="5"/>
    <x v="7"/>
    <x v="0"/>
    <x v="0"/>
    <n v="12000"/>
    <n v="0"/>
    <n v="12000"/>
  </r>
  <r>
    <x v="883"/>
    <x v="66"/>
    <x v="12"/>
    <x v="7"/>
    <x v="2"/>
    <x v="1"/>
    <x v="4"/>
    <n v="1500"/>
    <n v="0.15"/>
    <n v="3825"/>
  </r>
  <r>
    <x v="884"/>
    <x v="249"/>
    <x v="9"/>
    <x v="0"/>
    <x v="6"/>
    <x v="2"/>
    <x v="3"/>
    <n v="3000"/>
    <n v="0"/>
    <n v="12000"/>
  </r>
  <r>
    <x v="885"/>
    <x v="102"/>
    <x v="6"/>
    <x v="3"/>
    <x v="0"/>
    <x v="0"/>
    <x v="0"/>
    <n v="20000"/>
    <n v="0"/>
    <n v="20000"/>
  </r>
  <r>
    <x v="886"/>
    <x v="65"/>
    <x v="12"/>
    <x v="5"/>
    <x v="0"/>
    <x v="0"/>
    <x v="1"/>
    <n v="20000"/>
    <n v="0.15"/>
    <n v="85000"/>
  </r>
  <r>
    <x v="887"/>
    <x v="339"/>
    <x v="4"/>
    <x v="0"/>
    <x v="2"/>
    <x v="1"/>
    <x v="0"/>
    <n v="1500"/>
    <n v="0.05"/>
    <n v="1425"/>
  </r>
  <r>
    <x v="888"/>
    <x v="215"/>
    <x v="13"/>
    <x v="6"/>
    <x v="3"/>
    <x v="0"/>
    <x v="2"/>
    <n v="30000"/>
    <n v="0"/>
    <n v="60000"/>
  </r>
  <r>
    <x v="889"/>
    <x v="114"/>
    <x v="4"/>
    <x v="2"/>
    <x v="7"/>
    <x v="0"/>
    <x v="4"/>
    <n v="12000"/>
    <n v="0.05"/>
    <n v="34200"/>
  </r>
  <r>
    <x v="890"/>
    <x v="242"/>
    <x v="6"/>
    <x v="7"/>
    <x v="1"/>
    <x v="0"/>
    <x v="1"/>
    <n v="50000"/>
    <n v="0.1"/>
    <n v="225000"/>
  </r>
  <r>
    <x v="891"/>
    <x v="340"/>
    <x v="10"/>
    <x v="2"/>
    <x v="7"/>
    <x v="0"/>
    <x v="1"/>
    <n v="12000"/>
    <n v="0"/>
    <n v="60000"/>
  </r>
  <r>
    <x v="892"/>
    <x v="9"/>
    <x v="1"/>
    <x v="7"/>
    <x v="6"/>
    <x v="2"/>
    <x v="1"/>
    <n v="3000"/>
    <n v="0.15"/>
    <n v="12750"/>
  </r>
  <r>
    <x v="893"/>
    <x v="0"/>
    <x v="3"/>
    <x v="2"/>
    <x v="0"/>
    <x v="0"/>
    <x v="1"/>
    <n v="20000"/>
    <n v="0"/>
    <n v="100000"/>
  </r>
  <r>
    <x v="894"/>
    <x v="225"/>
    <x v="7"/>
    <x v="1"/>
    <x v="1"/>
    <x v="0"/>
    <x v="2"/>
    <n v="50000"/>
    <n v="0.05"/>
    <n v="95000"/>
  </r>
  <r>
    <x v="895"/>
    <x v="75"/>
    <x v="8"/>
    <x v="1"/>
    <x v="3"/>
    <x v="0"/>
    <x v="0"/>
    <n v="30000"/>
    <n v="0.1"/>
    <n v="27000"/>
  </r>
  <r>
    <x v="896"/>
    <x v="22"/>
    <x v="13"/>
    <x v="0"/>
    <x v="0"/>
    <x v="0"/>
    <x v="3"/>
    <n v="20000"/>
    <n v="0.05"/>
    <n v="76000"/>
  </r>
  <r>
    <x v="897"/>
    <x v="341"/>
    <x v="8"/>
    <x v="6"/>
    <x v="7"/>
    <x v="0"/>
    <x v="1"/>
    <n v="12000"/>
    <n v="0.1"/>
    <n v="54000"/>
  </r>
  <r>
    <x v="898"/>
    <x v="186"/>
    <x v="1"/>
    <x v="4"/>
    <x v="4"/>
    <x v="1"/>
    <x v="4"/>
    <n v="2000"/>
    <n v="0.15"/>
    <n v="5100"/>
  </r>
  <r>
    <x v="899"/>
    <x v="184"/>
    <x v="3"/>
    <x v="3"/>
    <x v="5"/>
    <x v="2"/>
    <x v="3"/>
    <n v="7000"/>
    <n v="0.05"/>
    <n v="26600"/>
  </r>
  <r>
    <x v="900"/>
    <x v="270"/>
    <x v="14"/>
    <x v="1"/>
    <x v="2"/>
    <x v="1"/>
    <x v="1"/>
    <n v="1500"/>
    <n v="0.05"/>
    <n v="7125"/>
  </r>
  <r>
    <x v="901"/>
    <x v="205"/>
    <x v="13"/>
    <x v="5"/>
    <x v="0"/>
    <x v="0"/>
    <x v="1"/>
    <n v="20000"/>
    <n v="0"/>
    <n v="100000"/>
  </r>
  <r>
    <x v="902"/>
    <x v="47"/>
    <x v="10"/>
    <x v="7"/>
    <x v="4"/>
    <x v="1"/>
    <x v="4"/>
    <n v="2000"/>
    <n v="0.1"/>
    <n v="5400"/>
  </r>
  <r>
    <x v="903"/>
    <x v="60"/>
    <x v="13"/>
    <x v="2"/>
    <x v="7"/>
    <x v="0"/>
    <x v="2"/>
    <n v="12000"/>
    <n v="0.05"/>
    <n v="22800"/>
  </r>
  <r>
    <x v="904"/>
    <x v="127"/>
    <x v="5"/>
    <x v="2"/>
    <x v="1"/>
    <x v="0"/>
    <x v="0"/>
    <n v="50000"/>
    <n v="0"/>
    <n v="50000"/>
  </r>
  <r>
    <x v="905"/>
    <x v="110"/>
    <x v="7"/>
    <x v="2"/>
    <x v="2"/>
    <x v="1"/>
    <x v="3"/>
    <n v="1500"/>
    <n v="0"/>
    <n v="6000"/>
  </r>
  <r>
    <x v="906"/>
    <x v="235"/>
    <x v="8"/>
    <x v="6"/>
    <x v="1"/>
    <x v="0"/>
    <x v="2"/>
    <n v="50000"/>
    <n v="0.1"/>
    <n v="90000"/>
  </r>
  <r>
    <x v="907"/>
    <x v="327"/>
    <x v="5"/>
    <x v="3"/>
    <x v="5"/>
    <x v="2"/>
    <x v="1"/>
    <n v="7000"/>
    <n v="0.1"/>
    <n v="31500"/>
  </r>
  <r>
    <x v="908"/>
    <x v="108"/>
    <x v="14"/>
    <x v="3"/>
    <x v="4"/>
    <x v="1"/>
    <x v="3"/>
    <n v="2000"/>
    <n v="0"/>
    <n v="8000"/>
  </r>
  <r>
    <x v="909"/>
    <x v="341"/>
    <x v="4"/>
    <x v="7"/>
    <x v="4"/>
    <x v="1"/>
    <x v="3"/>
    <n v="2000"/>
    <n v="0.15"/>
    <n v="6800"/>
  </r>
  <r>
    <x v="910"/>
    <x v="338"/>
    <x v="1"/>
    <x v="1"/>
    <x v="3"/>
    <x v="0"/>
    <x v="3"/>
    <n v="30000"/>
    <n v="0.1"/>
    <n v="108000"/>
  </r>
  <r>
    <x v="911"/>
    <x v="92"/>
    <x v="2"/>
    <x v="2"/>
    <x v="5"/>
    <x v="2"/>
    <x v="1"/>
    <n v="7000"/>
    <n v="0.1"/>
    <n v="31500"/>
  </r>
  <r>
    <x v="912"/>
    <x v="118"/>
    <x v="3"/>
    <x v="1"/>
    <x v="4"/>
    <x v="1"/>
    <x v="4"/>
    <n v="2000"/>
    <n v="0"/>
    <n v="6000"/>
  </r>
  <r>
    <x v="913"/>
    <x v="130"/>
    <x v="11"/>
    <x v="0"/>
    <x v="4"/>
    <x v="1"/>
    <x v="3"/>
    <n v="2000"/>
    <n v="0.05"/>
    <n v="7600"/>
  </r>
  <r>
    <x v="914"/>
    <x v="202"/>
    <x v="15"/>
    <x v="6"/>
    <x v="0"/>
    <x v="0"/>
    <x v="4"/>
    <n v="20000"/>
    <n v="0.1"/>
    <n v="54000"/>
  </r>
  <r>
    <x v="915"/>
    <x v="234"/>
    <x v="7"/>
    <x v="7"/>
    <x v="2"/>
    <x v="1"/>
    <x v="0"/>
    <n v="1500"/>
    <n v="0.15"/>
    <n v="1275"/>
  </r>
  <r>
    <x v="916"/>
    <x v="108"/>
    <x v="5"/>
    <x v="3"/>
    <x v="5"/>
    <x v="2"/>
    <x v="2"/>
    <n v="7000"/>
    <n v="0.1"/>
    <n v="12600"/>
  </r>
  <r>
    <x v="917"/>
    <x v="194"/>
    <x v="2"/>
    <x v="7"/>
    <x v="1"/>
    <x v="0"/>
    <x v="2"/>
    <n v="50000"/>
    <n v="0"/>
    <n v="100000"/>
  </r>
  <r>
    <x v="918"/>
    <x v="205"/>
    <x v="13"/>
    <x v="3"/>
    <x v="3"/>
    <x v="0"/>
    <x v="2"/>
    <n v="30000"/>
    <n v="0.1"/>
    <n v="54000"/>
  </r>
  <r>
    <x v="919"/>
    <x v="266"/>
    <x v="15"/>
    <x v="7"/>
    <x v="3"/>
    <x v="0"/>
    <x v="0"/>
    <n v="30000"/>
    <n v="0.05"/>
    <n v="28500"/>
  </r>
  <r>
    <x v="920"/>
    <x v="317"/>
    <x v="13"/>
    <x v="1"/>
    <x v="2"/>
    <x v="1"/>
    <x v="1"/>
    <n v="1500"/>
    <n v="0"/>
    <n v="7500"/>
  </r>
  <r>
    <x v="921"/>
    <x v="342"/>
    <x v="5"/>
    <x v="6"/>
    <x v="0"/>
    <x v="0"/>
    <x v="4"/>
    <n v="20000"/>
    <n v="0.15"/>
    <n v="51000"/>
  </r>
  <r>
    <x v="922"/>
    <x v="286"/>
    <x v="14"/>
    <x v="3"/>
    <x v="1"/>
    <x v="0"/>
    <x v="1"/>
    <n v="50000"/>
    <n v="0.1"/>
    <n v="225000"/>
  </r>
  <r>
    <x v="923"/>
    <x v="143"/>
    <x v="9"/>
    <x v="7"/>
    <x v="6"/>
    <x v="2"/>
    <x v="2"/>
    <n v="3000"/>
    <n v="0.1"/>
    <n v="5400"/>
  </r>
  <r>
    <x v="924"/>
    <x v="42"/>
    <x v="3"/>
    <x v="4"/>
    <x v="0"/>
    <x v="0"/>
    <x v="4"/>
    <n v="20000"/>
    <n v="0.05"/>
    <n v="57000"/>
  </r>
  <r>
    <x v="925"/>
    <x v="266"/>
    <x v="7"/>
    <x v="3"/>
    <x v="1"/>
    <x v="0"/>
    <x v="1"/>
    <n v="50000"/>
    <n v="0"/>
    <n v="250000"/>
  </r>
  <r>
    <x v="926"/>
    <x v="96"/>
    <x v="0"/>
    <x v="0"/>
    <x v="5"/>
    <x v="2"/>
    <x v="2"/>
    <n v="7000"/>
    <n v="0.1"/>
    <n v="12600"/>
  </r>
  <r>
    <x v="927"/>
    <x v="73"/>
    <x v="6"/>
    <x v="1"/>
    <x v="0"/>
    <x v="0"/>
    <x v="4"/>
    <n v="20000"/>
    <n v="0.1"/>
    <n v="54000"/>
  </r>
  <r>
    <x v="928"/>
    <x v="310"/>
    <x v="15"/>
    <x v="4"/>
    <x v="3"/>
    <x v="0"/>
    <x v="0"/>
    <n v="30000"/>
    <n v="0.15"/>
    <n v="25500"/>
  </r>
  <r>
    <x v="929"/>
    <x v="318"/>
    <x v="11"/>
    <x v="0"/>
    <x v="2"/>
    <x v="1"/>
    <x v="0"/>
    <n v="1500"/>
    <n v="0"/>
    <n v="1500"/>
  </r>
  <r>
    <x v="930"/>
    <x v="25"/>
    <x v="9"/>
    <x v="2"/>
    <x v="7"/>
    <x v="0"/>
    <x v="1"/>
    <n v="12000"/>
    <n v="0.1"/>
    <n v="54000"/>
  </r>
  <r>
    <x v="931"/>
    <x v="46"/>
    <x v="6"/>
    <x v="4"/>
    <x v="0"/>
    <x v="0"/>
    <x v="3"/>
    <n v="20000"/>
    <n v="0.05"/>
    <n v="76000"/>
  </r>
  <r>
    <x v="932"/>
    <x v="343"/>
    <x v="0"/>
    <x v="2"/>
    <x v="7"/>
    <x v="0"/>
    <x v="4"/>
    <n v="12000"/>
    <n v="0.15"/>
    <n v="30600"/>
  </r>
  <r>
    <x v="933"/>
    <x v="50"/>
    <x v="11"/>
    <x v="0"/>
    <x v="3"/>
    <x v="0"/>
    <x v="1"/>
    <n v="30000"/>
    <n v="0.1"/>
    <n v="135000"/>
  </r>
  <r>
    <x v="934"/>
    <x v="322"/>
    <x v="2"/>
    <x v="4"/>
    <x v="4"/>
    <x v="1"/>
    <x v="4"/>
    <n v="2000"/>
    <n v="0.15"/>
    <n v="5100"/>
  </r>
  <r>
    <x v="935"/>
    <x v="199"/>
    <x v="6"/>
    <x v="0"/>
    <x v="7"/>
    <x v="0"/>
    <x v="0"/>
    <n v="12000"/>
    <n v="0.1"/>
    <n v="10800"/>
  </r>
  <r>
    <x v="936"/>
    <x v="307"/>
    <x v="5"/>
    <x v="5"/>
    <x v="5"/>
    <x v="2"/>
    <x v="4"/>
    <n v="7000"/>
    <n v="0.05"/>
    <n v="19950"/>
  </r>
  <r>
    <x v="937"/>
    <x v="95"/>
    <x v="6"/>
    <x v="5"/>
    <x v="0"/>
    <x v="0"/>
    <x v="4"/>
    <n v="20000"/>
    <n v="0"/>
    <n v="60000"/>
  </r>
  <r>
    <x v="938"/>
    <x v="70"/>
    <x v="12"/>
    <x v="7"/>
    <x v="2"/>
    <x v="1"/>
    <x v="2"/>
    <n v="1500"/>
    <n v="0.05"/>
    <n v="2850"/>
  </r>
  <r>
    <x v="939"/>
    <x v="99"/>
    <x v="1"/>
    <x v="5"/>
    <x v="2"/>
    <x v="1"/>
    <x v="0"/>
    <n v="1500"/>
    <n v="0.1"/>
    <n v="1350"/>
  </r>
  <r>
    <x v="940"/>
    <x v="100"/>
    <x v="8"/>
    <x v="7"/>
    <x v="4"/>
    <x v="1"/>
    <x v="1"/>
    <n v="2000"/>
    <n v="0.05"/>
    <n v="9500"/>
  </r>
  <r>
    <x v="941"/>
    <x v="252"/>
    <x v="5"/>
    <x v="7"/>
    <x v="0"/>
    <x v="0"/>
    <x v="1"/>
    <n v="20000"/>
    <n v="0.15"/>
    <n v="85000"/>
  </r>
  <r>
    <x v="942"/>
    <x v="56"/>
    <x v="5"/>
    <x v="5"/>
    <x v="3"/>
    <x v="0"/>
    <x v="4"/>
    <n v="30000"/>
    <n v="0.15"/>
    <n v="76500"/>
  </r>
  <r>
    <x v="943"/>
    <x v="155"/>
    <x v="14"/>
    <x v="0"/>
    <x v="4"/>
    <x v="1"/>
    <x v="3"/>
    <n v="2000"/>
    <n v="0"/>
    <n v="8000"/>
  </r>
  <r>
    <x v="944"/>
    <x v="148"/>
    <x v="13"/>
    <x v="5"/>
    <x v="1"/>
    <x v="0"/>
    <x v="2"/>
    <n v="50000"/>
    <n v="0.05"/>
    <n v="95000"/>
  </r>
  <r>
    <x v="945"/>
    <x v="19"/>
    <x v="9"/>
    <x v="6"/>
    <x v="7"/>
    <x v="0"/>
    <x v="2"/>
    <n v="12000"/>
    <n v="0.05"/>
    <n v="22800"/>
  </r>
  <r>
    <x v="946"/>
    <x v="325"/>
    <x v="2"/>
    <x v="5"/>
    <x v="5"/>
    <x v="2"/>
    <x v="3"/>
    <n v="7000"/>
    <n v="0.1"/>
    <n v="25200"/>
  </r>
  <r>
    <x v="947"/>
    <x v="49"/>
    <x v="15"/>
    <x v="1"/>
    <x v="3"/>
    <x v="0"/>
    <x v="4"/>
    <n v="30000"/>
    <n v="0"/>
    <n v="90000"/>
  </r>
  <r>
    <x v="948"/>
    <x v="344"/>
    <x v="0"/>
    <x v="5"/>
    <x v="4"/>
    <x v="1"/>
    <x v="0"/>
    <n v="2000"/>
    <n v="0.1"/>
    <n v="1800"/>
  </r>
  <r>
    <x v="949"/>
    <x v="63"/>
    <x v="11"/>
    <x v="5"/>
    <x v="2"/>
    <x v="1"/>
    <x v="4"/>
    <n v="1500"/>
    <n v="0.15"/>
    <n v="3825"/>
  </r>
  <r>
    <x v="950"/>
    <x v="15"/>
    <x v="14"/>
    <x v="5"/>
    <x v="6"/>
    <x v="2"/>
    <x v="2"/>
    <n v="3000"/>
    <n v="0.15"/>
    <n v="5100"/>
  </r>
  <r>
    <x v="951"/>
    <x v="216"/>
    <x v="4"/>
    <x v="0"/>
    <x v="4"/>
    <x v="1"/>
    <x v="3"/>
    <n v="2000"/>
    <n v="0.05"/>
    <n v="7600"/>
  </r>
  <r>
    <x v="952"/>
    <x v="159"/>
    <x v="10"/>
    <x v="5"/>
    <x v="1"/>
    <x v="0"/>
    <x v="0"/>
    <n v="50000"/>
    <n v="0"/>
    <n v="50000"/>
  </r>
  <r>
    <x v="953"/>
    <x v="144"/>
    <x v="1"/>
    <x v="7"/>
    <x v="3"/>
    <x v="0"/>
    <x v="0"/>
    <n v="30000"/>
    <n v="0.05"/>
    <n v="28500"/>
  </r>
  <r>
    <x v="954"/>
    <x v="9"/>
    <x v="1"/>
    <x v="7"/>
    <x v="2"/>
    <x v="1"/>
    <x v="1"/>
    <n v="1500"/>
    <n v="0.05"/>
    <n v="7125"/>
  </r>
  <r>
    <x v="955"/>
    <x v="37"/>
    <x v="1"/>
    <x v="1"/>
    <x v="2"/>
    <x v="1"/>
    <x v="4"/>
    <n v="1500"/>
    <n v="0.05"/>
    <n v="4275"/>
  </r>
  <r>
    <x v="956"/>
    <x v="179"/>
    <x v="7"/>
    <x v="1"/>
    <x v="7"/>
    <x v="0"/>
    <x v="2"/>
    <n v="12000"/>
    <n v="0.1"/>
    <n v="21600"/>
  </r>
  <r>
    <x v="957"/>
    <x v="256"/>
    <x v="7"/>
    <x v="4"/>
    <x v="1"/>
    <x v="0"/>
    <x v="1"/>
    <n v="50000"/>
    <n v="0.15"/>
    <n v="212500"/>
  </r>
  <r>
    <x v="958"/>
    <x v="312"/>
    <x v="3"/>
    <x v="7"/>
    <x v="7"/>
    <x v="0"/>
    <x v="0"/>
    <n v="12000"/>
    <n v="0.05"/>
    <n v="11400"/>
  </r>
  <r>
    <x v="959"/>
    <x v="0"/>
    <x v="10"/>
    <x v="4"/>
    <x v="0"/>
    <x v="0"/>
    <x v="1"/>
    <n v="20000"/>
    <n v="0"/>
    <n v="100000"/>
  </r>
  <r>
    <x v="960"/>
    <x v="45"/>
    <x v="2"/>
    <x v="7"/>
    <x v="5"/>
    <x v="2"/>
    <x v="1"/>
    <n v="7000"/>
    <n v="0"/>
    <n v="35000"/>
  </r>
  <r>
    <x v="961"/>
    <x v="96"/>
    <x v="9"/>
    <x v="5"/>
    <x v="7"/>
    <x v="0"/>
    <x v="1"/>
    <n v="12000"/>
    <n v="0.15"/>
    <n v="51000"/>
  </r>
  <r>
    <x v="962"/>
    <x v="33"/>
    <x v="15"/>
    <x v="6"/>
    <x v="4"/>
    <x v="1"/>
    <x v="4"/>
    <n v="2000"/>
    <n v="0.1"/>
    <n v="5400"/>
  </r>
  <r>
    <x v="963"/>
    <x v="64"/>
    <x v="12"/>
    <x v="1"/>
    <x v="5"/>
    <x v="2"/>
    <x v="0"/>
    <n v="7000"/>
    <n v="0.15"/>
    <n v="5950"/>
  </r>
  <r>
    <x v="964"/>
    <x v="174"/>
    <x v="10"/>
    <x v="4"/>
    <x v="5"/>
    <x v="2"/>
    <x v="1"/>
    <n v="7000"/>
    <n v="0"/>
    <n v="35000"/>
  </r>
  <r>
    <x v="965"/>
    <x v="4"/>
    <x v="3"/>
    <x v="0"/>
    <x v="3"/>
    <x v="0"/>
    <x v="1"/>
    <n v="30000"/>
    <n v="0"/>
    <n v="150000"/>
  </r>
  <r>
    <x v="966"/>
    <x v="146"/>
    <x v="5"/>
    <x v="0"/>
    <x v="5"/>
    <x v="2"/>
    <x v="4"/>
    <n v="7000"/>
    <n v="0.1"/>
    <n v="18900"/>
  </r>
  <r>
    <x v="967"/>
    <x v="108"/>
    <x v="3"/>
    <x v="2"/>
    <x v="3"/>
    <x v="0"/>
    <x v="3"/>
    <n v="30000"/>
    <n v="0.1"/>
    <n v="108000"/>
  </r>
  <r>
    <x v="968"/>
    <x v="45"/>
    <x v="8"/>
    <x v="0"/>
    <x v="7"/>
    <x v="0"/>
    <x v="2"/>
    <n v="12000"/>
    <n v="0"/>
    <n v="24000"/>
  </r>
  <r>
    <x v="969"/>
    <x v="116"/>
    <x v="0"/>
    <x v="7"/>
    <x v="3"/>
    <x v="0"/>
    <x v="3"/>
    <n v="30000"/>
    <n v="0.15"/>
    <n v="102000"/>
  </r>
  <r>
    <x v="970"/>
    <x v="30"/>
    <x v="3"/>
    <x v="4"/>
    <x v="3"/>
    <x v="0"/>
    <x v="2"/>
    <n v="30000"/>
    <n v="0.1"/>
    <n v="54000"/>
  </r>
  <r>
    <x v="971"/>
    <x v="153"/>
    <x v="10"/>
    <x v="6"/>
    <x v="1"/>
    <x v="0"/>
    <x v="2"/>
    <n v="50000"/>
    <n v="0.15"/>
    <n v="85000"/>
  </r>
  <r>
    <x v="972"/>
    <x v="5"/>
    <x v="11"/>
    <x v="7"/>
    <x v="7"/>
    <x v="0"/>
    <x v="1"/>
    <n v="12000"/>
    <n v="0.05"/>
    <n v="57000"/>
  </r>
  <r>
    <x v="973"/>
    <x v="242"/>
    <x v="13"/>
    <x v="7"/>
    <x v="5"/>
    <x v="2"/>
    <x v="2"/>
    <n v="7000"/>
    <n v="0.15"/>
    <n v="11900"/>
  </r>
  <r>
    <x v="974"/>
    <x v="345"/>
    <x v="7"/>
    <x v="5"/>
    <x v="2"/>
    <x v="1"/>
    <x v="4"/>
    <n v="1500"/>
    <n v="0"/>
    <n v="4500"/>
  </r>
  <r>
    <x v="975"/>
    <x v="53"/>
    <x v="5"/>
    <x v="6"/>
    <x v="5"/>
    <x v="2"/>
    <x v="4"/>
    <n v="7000"/>
    <n v="0.1"/>
    <n v="18900"/>
  </r>
  <r>
    <x v="976"/>
    <x v="313"/>
    <x v="14"/>
    <x v="3"/>
    <x v="2"/>
    <x v="1"/>
    <x v="3"/>
    <n v="1500"/>
    <n v="0.05"/>
    <n v="5700"/>
  </r>
  <r>
    <x v="977"/>
    <x v="313"/>
    <x v="2"/>
    <x v="4"/>
    <x v="3"/>
    <x v="0"/>
    <x v="4"/>
    <n v="30000"/>
    <n v="0"/>
    <n v="90000"/>
  </r>
  <r>
    <x v="978"/>
    <x v="170"/>
    <x v="5"/>
    <x v="7"/>
    <x v="1"/>
    <x v="0"/>
    <x v="3"/>
    <n v="50000"/>
    <n v="0"/>
    <n v="200000"/>
  </r>
  <r>
    <x v="979"/>
    <x v="249"/>
    <x v="14"/>
    <x v="1"/>
    <x v="4"/>
    <x v="1"/>
    <x v="2"/>
    <n v="2000"/>
    <n v="0.1"/>
    <n v="3600"/>
  </r>
  <r>
    <x v="980"/>
    <x v="282"/>
    <x v="14"/>
    <x v="4"/>
    <x v="1"/>
    <x v="0"/>
    <x v="1"/>
    <n v="50000"/>
    <n v="0"/>
    <n v="250000"/>
  </r>
  <r>
    <x v="981"/>
    <x v="288"/>
    <x v="12"/>
    <x v="4"/>
    <x v="0"/>
    <x v="0"/>
    <x v="0"/>
    <n v="20000"/>
    <n v="0.05"/>
    <n v="19000"/>
  </r>
  <r>
    <x v="982"/>
    <x v="198"/>
    <x v="8"/>
    <x v="7"/>
    <x v="3"/>
    <x v="0"/>
    <x v="4"/>
    <n v="30000"/>
    <n v="0.1"/>
    <n v="81000"/>
  </r>
  <r>
    <x v="983"/>
    <x v="172"/>
    <x v="12"/>
    <x v="4"/>
    <x v="5"/>
    <x v="2"/>
    <x v="3"/>
    <n v="7000"/>
    <n v="0.1"/>
    <n v="25200"/>
  </r>
  <r>
    <x v="984"/>
    <x v="141"/>
    <x v="9"/>
    <x v="1"/>
    <x v="5"/>
    <x v="2"/>
    <x v="0"/>
    <n v="7000"/>
    <n v="0.15"/>
    <n v="5950"/>
  </r>
  <r>
    <x v="985"/>
    <x v="272"/>
    <x v="8"/>
    <x v="7"/>
    <x v="5"/>
    <x v="2"/>
    <x v="4"/>
    <n v="7000"/>
    <n v="0.05"/>
    <n v="19950"/>
  </r>
  <r>
    <x v="986"/>
    <x v="243"/>
    <x v="10"/>
    <x v="4"/>
    <x v="6"/>
    <x v="2"/>
    <x v="1"/>
    <n v="3000"/>
    <n v="0.15"/>
    <n v="12750"/>
  </r>
  <r>
    <x v="987"/>
    <x v="241"/>
    <x v="5"/>
    <x v="7"/>
    <x v="3"/>
    <x v="0"/>
    <x v="1"/>
    <n v="30000"/>
    <n v="0.15"/>
    <n v="127500"/>
  </r>
  <r>
    <x v="988"/>
    <x v="197"/>
    <x v="8"/>
    <x v="6"/>
    <x v="5"/>
    <x v="2"/>
    <x v="0"/>
    <n v="7000"/>
    <n v="0"/>
    <n v="7000"/>
  </r>
  <r>
    <x v="989"/>
    <x v="118"/>
    <x v="2"/>
    <x v="1"/>
    <x v="7"/>
    <x v="0"/>
    <x v="0"/>
    <n v="12000"/>
    <n v="0.15"/>
    <n v="10200"/>
  </r>
  <r>
    <x v="990"/>
    <x v="228"/>
    <x v="9"/>
    <x v="5"/>
    <x v="2"/>
    <x v="1"/>
    <x v="4"/>
    <n v="1500"/>
    <n v="0.05"/>
    <n v="4275"/>
  </r>
  <r>
    <x v="991"/>
    <x v="346"/>
    <x v="1"/>
    <x v="5"/>
    <x v="1"/>
    <x v="0"/>
    <x v="1"/>
    <n v="50000"/>
    <n v="0.15"/>
    <n v="212500"/>
  </r>
  <r>
    <x v="992"/>
    <x v="227"/>
    <x v="11"/>
    <x v="7"/>
    <x v="0"/>
    <x v="0"/>
    <x v="1"/>
    <n v="20000"/>
    <n v="0.05"/>
    <n v="95000"/>
  </r>
  <r>
    <x v="993"/>
    <x v="110"/>
    <x v="13"/>
    <x v="5"/>
    <x v="0"/>
    <x v="0"/>
    <x v="1"/>
    <n v="20000"/>
    <n v="0.1"/>
    <n v="90000"/>
  </r>
  <r>
    <x v="994"/>
    <x v="218"/>
    <x v="9"/>
    <x v="4"/>
    <x v="1"/>
    <x v="0"/>
    <x v="0"/>
    <n v="50000"/>
    <n v="0.1"/>
    <n v="45000"/>
  </r>
  <r>
    <x v="995"/>
    <x v="68"/>
    <x v="15"/>
    <x v="5"/>
    <x v="7"/>
    <x v="0"/>
    <x v="4"/>
    <n v="12000"/>
    <n v="0.05"/>
    <n v="34200"/>
  </r>
  <r>
    <x v="996"/>
    <x v="246"/>
    <x v="7"/>
    <x v="7"/>
    <x v="6"/>
    <x v="2"/>
    <x v="4"/>
    <n v="3000"/>
    <n v="0.15"/>
    <n v="7650"/>
  </r>
  <r>
    <x v="997"/>
    <x v="15"/>
    <x v="15"/>
    <x v="2"/>
    <x v="0"/>
    <x v="0"/>
    <x v="3"/>
    <n v="20000"/>
    <n v="0.05"/>
    <n v="76000"/>
  </r>
  <r>
    <x v="998"/>
    <x v="86"/>
    <x v="11"/>
    <x v="4"/>
    <x v="1"/>
    <x v="0"/>
    <x v="1"/>
    <n v="50000"/>
    <n v="0.05"/>
    <n v="237500"/>
  </r>
  <r>
    <x v="999"/>
    <x v="274"/>
    <x v="15"/>
    <x v="3"/>
    <x v="5"/>
    <x v="2"/>
    <x v="3"/>
    <n v="7000"/>
    <n v="0.15"/>
    <n v="23800"/>
  </r>
</pivotCacheRecords>
</file>

<file path=xl/pivotCache/pivotCacheRecords2.xml><?xml version="1.0" encoding="utf-8"?>
<pivotCacheRecords xmlns="http://schemas.openxmlformats.org/spreadsheetml/2006/main" xmlns:r="http://schemas.openxmlformats.org/officeDocument/2006/relationships" count="1000">
  <r>
    <n v="1001"/>
    <s v="05-05-2024"/>
    <x v="0"/>
    <x v="0"/>
    <x v="0"/>
    <x v="0"/>
    <n v="1"/>
    <n v="20000"/>
    <n v="0.1"/>
    <n v="18000"/>
    <x v="0"/>
  </r>
  <r>
    <n v="1002"/>
    <s v="29-10-2024"/>
    <x v="1"/>
    <x v="1"/>
    <x v="0"/>
    <x v="0"/>
    <n v="5"/>
    <n v="20000"/>
    <n v="0"/>
    <n v="100000"/>
    <x v="1"/>
  </r>
  <r>
    <n v="1003"/>
    <s v="29-04-2024"/>
    <x v="2"/>
    <x v="2"/>
    <x v="1"/>
    <x v="0"/>
    <n v="1"/>
    <n v="50000"/>
    <n v="0.05"/>
    <n v="47500"/>
    <x v="2"/>
  </r>
  <r>
    <n v="1004"/>
    <s v="28-10-2024"/>
    <x v="3"/>
    <x v="1"/>
    <x v="2"/>
    <x v="1"/>
    <n v="2"/>
    <n v="1500"/>
    <n v="0.15"/>
    <n v="2550"/>
    <x v="1"/>
  </r>
  <r>
    <n v="1005"/>
    <s v="22-05-2024"/>
    <x v="4"/>
    <x v="2"/>
    <x v="3"/>
    <x v="0"/>
    <n v="4"/>
    <n v="30000"/>
    <n v="0.1"/>
    <n v="108000"/>
    <x v="0"/>
  </r>
  <r>
    <n v="1006"/>
    <s v="13-07-2024"/>
    <x v="5"/>
    <x v="3"/>
    <x v="4"/>
    <x v="1"/>
    <n v="1"/>
    <n v="2000"/>
    <n v="0"/>
    <n v="2000"/>
    <x v="3"/>
  </r>
  <r>
    <n v="1007"/>
    <s v="23-01-2024"/>
    <x v="6"/>
    <x v="4"/>
    <x v="4"/>
    <x v="1"/>
    <n v="5"/>
    <n v="2000"/>
    <n v="0.1"/>
    <n v="9000"/>
    <x v="4"/>
  </r>
  <r>
    <n v="1008"/>
    <s v="17-11-2024"/>
    <x v="7"/>
    <x v="2"/>
    <x v="2"/>
    <x v="1"/>
    <n v="1"/>
    <n v="1500"/>
    <n v="0.1"/>
    <n v="1350"/>
    <x v="5"/>
  </r>
  <r>
    <n v="1009"/>
    <s v="28-05-2024"/>
    <x v="8"/>
    <x v="2"/>
    <x v="0"/>
    <x v="0"/>
    <n v="1"/>
    <n v="20000"/>
    <n v="0.05"/>
    <n v="19000"/>
    <x v="0"/>
  </r>
  <r>
    <n v="1010"/>
    <s v="20-08-2024"/>
    <x v="7"/>
    <x v="0"/>
    <x v="0"/>
    <x v="0"/>
    <n v="4"/>
    <n v="20000"/>
    <n v="0.1"/>
    <n v="72000"/>
    <x v="6"/>
  </r>
  <r>
    <n v="1011"/>
    <s v="09-12-2024"/>
    <x v="3"/>
    <x v="4"/>
    <x v="4"/>
    <x v="1"/>
    <n v="3"/>
    <n v="2000"/>
    <n v="0.05"/>
    <n v="5700"/>
    <x v="7"/>
  </r>
  <r>
    <n v="1012"/>
    <s v="24-03-2024"/>
    <x v="6"/>
    <x v="5"/>
    <x v="3"/>
    <x v="0"/>
    <n v="5"/>
    <n v="30000"/>
    <n v="0.05"/>
    <n v="142500"/>
    <x v="8"/>
  </r>
  <r>
    <n v="1013"/>
    <s v="16-12-2024"/>
    <x v="9"/>
    <x v="1"/>
    <x v="5"/>
    <x v="2"/>
    <n v="5"/>
    <n v="7000"/>
    <n v="0.05"/>
    <n v="33250"/>
    <x v="7"/>
  </r>
  <r>
    <n v="1014"/>
    <s v="24-07-2024"/>
    <x v="3"/>
    <x v="4"/>
    <x v="6"/>
    <x v="2"/>
    <n v="1"/>
    <n v="3000"/>
    <n v="0.1"/>
    <n v="2700"/>
    <x v="3"/>
  </r>
  <r>
    <n v="1015"/>
    <s v="18-04-2024"/>
    <x v="10"/>
    <x v="5"/>
    <x v="6"/>
    <x v="2"/>
    <n v="5"/>
    <n v="3000"/>
    <n v="0.1"/>
    <n v="13500"/>
    <x v="2"/>
  </r>
  <r>
    <n v="1016"/>
    <s v="12-03-2024"/>
    <x v="0"/>
    <x v="6"/>
    <x v="7"/>
    <x v="0"/>
    <n v="2"/>
    <n v="12000"/>
    <n v="0.1"/>
    <n v="21600"/>
    <x v="8"/>
  </r>
  <r>
    <n v="1017"/>
    <s v="04-07-2024"/>
    <x v="0"/>
    <x v="0"/>
    <x v="2"/>
    <x v="1"/>
    <n v="5"/>
    <n v="1500"/>
    <n v="0.15"/>
    <n v="6375"/>
    <x v="3"/>
  </r>
  <r>
    <n v="1018"/>
    <s v="26-02-2024"/>
    <x v="4"/>
    <x v="0"/>
    <x v="7"/>
    <x v="0"/>
    <n v="1"/>
    <n v="12000"/>
    <n v="0"/>
    <n v="12000"/>
    <x v="9"/>
  </r>
  <r>
    <n v="1019"/>
    <s v="16-07-2024"/>
    <x v="11"/>
    <x v="7"/>
    <x v="2"/>
    <x v="1"/>
    <n v="5"/>
    <n v="1500"/>
    <n v="0"/>
    <n v="7500"/>
    <x v="3"/>
  </r>
  <r>
    <n v="1020"/>
    <s v="14-12-2024"/>
    <x v="5"/>
    <x v="6"/>
    <x v="5"/>
    <x v="2"/>
    <n v="5"/>
    <n v="7000"/>
    <n v="0"/>
    <n v="35000"/>
    <x v="7"/>
  </r>
  <r>
    <n v="1021"/>
    <s v="10-08-2024"/>
    <x v="12"/>
    <x v="7"/>
    <x v="4"/>
    <x v="1"/>
    <n v="1"/>
    <n v="2000"/>
    <n v="0.1"/>
    <n v="1800"/>
    <x v="6"/>
  </r>
  <r>
    <n v="1022"/>
    <s v="16-09-2024"/>
    <x v="5"/>
    <x v="6"/>
    <x v="1"/>
    <x v="0"/>
    <n v="3"/>
    <n v="50000"/>
    <n v="0.05"/>
    <n v="142500"/>
    <x v="10"/>
  </r>
  <r>
    <n v="1023"/>
    <s v="23-03-2024"/>
    <x v="2"/>
    <x v="3"/>
    <x v="6"/>
    <x v="2"/>
    <n v="2"/>
    <n v="3000"/>
    <n v="0.1"/>
    <n v="5400"/>
    <x v="8"/>
  </r>
  <r>
    <n v="1024"/>
    <s v="04-07-2024"/>
    <x v="13"/>
    <x v="2"/>
    <x v="7"/>
    <x v="0"/>
    <n v="1"/>
    <n v="12000"/>
    <n v="0"/>
    <n v="12000"/>
    <x v="3"/>
  </r>
  <r>
    <n v="1025"/>
    <s v="13-02-2024"/>
    <x v="10"/>
    <x v="4"/>
    <x v="1"/>
    <x v="0"/>
    <n v="2"/>
    <n v="50000"/>
    <n v="0"/>
    <n v="100000"/>
    <x v="9"/>
  </r>
  <r>
    <n v="1026"/>
    <s v="08-10-2024"/>
    <x v="12"/>
    <x v="6"/>
    <x v="3"/>
    <x v="0"/>
    <n v="2"/>
    <n v="30000"/>
    <n v="0.15"/>
    <n v="51000"/>
    <x v="1"/>
  </r>
  <r>
    <n v="1027"/>
    <s v="08-06-2024"/>
    <x v="11"/>
    <x v="3"/>
    <x v="2"/>
    <x v="1"/>
    <n v="2"/>
    <n v="1500"/>
    <n v="0.05"/>
    <n v="2850"/>
    <x v="11"/>
  </r>
  <r>
    <n v="1028"/>
    <s v="02-03-2024"/>
    <x v="0"/>
    <x v="2"/>
    <x v="7"/>
    <x v="0"/>
    <n v="5"/>
    <n v="12000"/>
    <n v="0.15"/>
    <n v="51000"/>
    <x v="8"/>
  </r>
  <r>
    <n v="1029"/>
    <s v="28-10-2024"/>
    <x v="0"/>
    <x v="2"/>
    <x v="0"/>
    <x v="0"/>
    <n v="3"/>
    <n v="20000"/>
    <n v="0"/>
    <n v="60000"/>
    <x v="1"/>
  </r>
  <r>
    <n v="1030"/>
    <s v="27-04-2024"/>
    <x v="8"/>
    <x v="1"/>
    <x v="1"/>
    <x v="0"/>
    <n v="1"/>
    <n v="50000"/>
    <n v="0"/>
    <n v="50000"/>
    <x v="2"/>
  </r>
  <r>
    <n v="1031"/>
    <s v="22-05-2024"/>
    <x v="10"/>
    <x v="2"/>
    <x v="4"/>
    <x v="1"/>
    <n v="1"/>
    <n v="2000"/>
    <n v="0.05"/>
    <n v="1900"/>
    <x v="0"/>
  </r>
  <r>
    <n v="1032"/>
    <s v="04-05-2024"/>
    <x v="10"/>
    <x v="5"/>
    <x v="3"/>
    <x v="0"/>
    <n v="5"/>
    <n v="30000"/>
    <n v="0.15"/>
    <n v="127500"/>
    <x v="0"/>
  </r>
  <r>
    <n v="1033"/>
    <s v="03-12-2024"/>
    <x v="1"/>
    <x v="3"/>
    <x v="6"/>
    <x v="2"/>
    <n v="1"/>
    <n v="3000"/>
    <n v="0"/>
    <n v="3000"/>
    <x v="7"/>
  </r>
  <r>
    <n v="1034"/>
    <s v="28-01-2024"/>
    <x v="5"/>
    <x v="1"/>
    <x v="2"/>
    <x v="1"/>
    <n v="4"/>
    <n v="1500"/>
    <n v="0.15"/>
    <n v="5100"/>
    <x v="4"/>
  </r>
  <r>
    <n v="1035"/>
    <s v="07-05-2024"/>
    <x v="14"/>
    <x v="2"/>
    <x v="2"/>
    <x v="1"/>
    <n v="3"/>
    <n v="1500"/>
    <n v="0"/>
    <n v="4500"/>
    <x v="0"/>
  </r>
  <r>
    <n v="1036"/>
    <s v="03-04-2024"/>
    <x v="3"/>
    <x v="7"/>
    <x v="7"/>
    <x v="0"/>
    <n v="2"/>
    <n v="12000"/>
    <n v="0.15"/>
    <n v="20400"/>
    <x v="2"/>
  </r>
  <r>
    <n v="1037"/>
    <s v="08-10-2024"/>
    <x v="5"/>
    <x v="1"/>
    <x v="6"/>
    <x v="2"/>
    <n v="1"/>
    <n v="3000"/>
    <n v="0.15"/>
    <n v="2550"/>
    <x v="1"/>
  </r>
  <r>
    <n v="1038"/>
    <s v="26-03-2024"/>
    <x v="1"/>
    <x v="7"/>
    <x v="1"/>
    <x v="0"/>
    <n v="1"/>
    <n v="50000"/>
    <n v="0.05"/>
    <n v="47500"/>
    <x v="8"/>
  </r>
  <r>
    <n v="1039"/>
    <s v="31-01-2024"/>
    <x v="12"/>
    <x v="5"/>
    <x v="7"/>
    <x v="0"/>
    <n v="2"/>
    <n v="12000"/>
    <n v="0.15"/>
    <n v="20400"/>
    <x v="4"/>
  </r>
  <r>
    <n v="1040"/>
    <s v="20-08-2024"/>
    <x v="13"/>
    <x v="5"/>
    <x v="1"/>
    <x v="0"/>
    <n v="4"/>
    <n v="50000"/>
    <n v="0.1"/>
    <n v="180000"/>
    <x v="6"/>
  </r>
  <r>
    <n v="1041"/>
    <s v="31-05-2024"/>
    <x v="14"/>
    <x v="1"/>
    <x v="7"/>
    <x v="0"/>
    <n v="2"/>
    <n v="12000"/>
    <n v="0.05"/>
    <n v="22800"/>
    <x v="0"/>
  </r>
  <r>
    <n v="1042"/>
    <s v="26-01-2024"/>
    <x v="10"/>
    <x v="0"/>
    <x v="1"/>
    <x v="0"/>
    <n v="3"/>
    <n v="50000"/>
    <n v="0"/>
    <n v="150000"/>
    <x v="4"/>
  </r>
  <r>
    <n v="1043"/>
    <s v="05-04-2024"/>
    <x v="8"/>
    <x v="4"/>
    <x v="1"/>
    <x v="0"/>
    <n v="5"/>
    <n v="50000"/>
    <n v="0"/>
    <n v="250000"/>
    <x v="2"/>
  </r>
  <r>
    <n v="1044"/>
    <s v="18-10-2024"/>
    <x v="0"/>
    <x v="1"/>
    <x v="6"/>
    <x v="2"/>
    <n v="4"/>
    <n v="3000"/>
    <n v="0"/>
    <n v="12000"/>
    <x v="1"/>
  </r>
  <r>
    <n v="1045"/>
    <s v="13-05-2024"/>
    <x v="14"/>
    <x v="3"/>
    <x v="0"/>
    <x v="0"/>
    <n v="4"/>
    <n v="20000"/>
    <n v="0.1"/>
    <n v="72000"/>
    <x v="0"/>
  </r>
  <r>
    <n v="1046"/>
    <s v="08-03-2024"/>
    <x v="13"/>
    <x v="7"/>
    <x v="6"/>
    <x v="2"/>
    <n v="3"/>
    <n v="3000"/>
    <n v="0.15"/>
    <n v="7650"/>
    <x v="8"/>
  </r>
  <r>
    <n v="1047"/>
    <s v="22-08-2024"/>
    <x v="5"/>
    <x v="4"/>
    <x v="4"/>
    <x v="1"/>
    <n v="1"/>
    <n v="2000"/>
    <n v="0"/>
    <n v="2000"/>
    <x v="6"/>
  </r>
  <r>
    <n v="1048"/>
    <s v="08-03-2024"/>
    <x v="7"/>
    <x v="4"/>
    <x v="6"/>
    <x v="2"/>
    <n v="5"/>
    <n v="3000"/>
    <n v="0.1"/>
    <n v="13500"/>
    <x v="8"/>
  </r>
  <r>
    <n v="1049"/>
    <s v="21-03-2024"/>
    <x v="6"/>
    <x v="6"/>
    <x v="6"/>
    <x v="2"/>
    <n v="3"/>
    <n v="3000"/>
    <n v="0.1"/>
    <n v="8100"/>
    <x v="8"/>
  </r>
  <r>
    <n v="1050"/>
    <s v="05-12-2024"/>
    <x v="5"/>
    <x v="0"/>
    <x v="1"/>
    <x v="0"/>
    <n v="5"/>
    <n v="50000"/>
    <n v="0.1"/>
    <n v="225000"/>
    <x v="7"/>
  </r>
  <r>
    <n v="1051"/>
    <s v="10-10-2024"/>
    <x v="4"/>
    <x v="6"/>
    <x v="5"/>
    <x v="2"/>
    <n v="1"/>
    <n v="7000"/>
    <n v="0"/>
    <n v="7000"/>
    <x v="1"/>
  </r>
  <r>
    <n v="1052"/>
    <s v="24-06-2024"/>
    <x v="14"/>
    <x v="6"/>
    <x v="5"/>
    <x v="2"/>
    <n v="5"/>
    <n v="7000"/>
    <n v="0.05"/>
    <n v="33250"/>
    <x v="11"/>
  </r>
  <r>
    <n v="1053"/>
    <s v="17-02-2024"/>
    <x v="1"/>
    <x v="6"/>
    <x v="7"/>
    <x v="0"/>
    <n v="3"/>
    <n v="12000"/>
    <n v="0"/>
    <n v="36000"/>
    <x v="9"/>
  </r>
  <r>
    <n v="1054"/>
    <s v="07-03-2024"/>
    <x v="3"/>
    <x v="0"/>
    <x v="1"/>
    <x v="0"/>
    <n v="1"/>
    <n v="50000"/>
    <n v="0.1"/>
    <n v="45000"/>
    <x v="8"/>
  </r>
  <r>
    <n v="1055"/>
    <s v="14-10-2024"/>
    <x v="2"/>
    <x v="4"/>
    <x v="7"/>
    <x v="0"/>
    <n v="5"/>
    <n v="12000"/>
    <n v="0.15"/>
    <n v="51000"/>
    <x v="1"/>
  </r>
  <r>
    <n v="1056"/>
    <s v="08-07-2024"/>
    <x v="4"/>
    <x v="5"/>
    <x v="0"/>
    <x v="0"/>
    <n v="2"/>
    <n v="20000"/>
    <n v="0"/>
    <n v="40000"/>
    <x v="3"/>
  </r>
  <r>
    <n v="1057"/>
    <s v="05-07-2024"/>
    <x v="15"/>
    <x v="3"/>
    <x v="3"/>
    <x v="0"/>
    <n v="1"/>
    <n v="30000"/>
    <n v="0.1"/>
    <n v="27000"/>
    <x v="3"/>
  </r>
  <r>
    <n v="1058"/>
    <s v="30-06-2024"/>
    <x v="1"/>
    <x v="0"/>
    <x v="6"/>
    <x v="2"/>
    <n v="2"/>
    <n v="3000"/>
    <n v="0"/>
    <n v="6000"/>
    <x v="11"/>
  </r>
  <r>
    <n v="1059"/>
    <s v="30-07-2024"/>
    <x v="2"/>
    <x v="0"/>
    <x v="6"/>
    <x v="2"/>
    <n v="2"/>
    <n v="3000"/>
    <n v="0.05"/>
    <n v="5700"/>
    <x v="3"/>
  </r>
  <r>
    <n v="1060"/>
    <s v="16-05-2024"/>
    <x v="12"/>
    <x v="4"/>
    <x v="4"/>
    <x v="1"/>
    <n v="4"/>
    <n v="2000"/>
    <n v="0.05"/>
    <n v="7600"/>
    <x v="0"/>
  </r>
  <r>
    <n v="1061"/>
    <s v="23-04-2024"/>
    <x v="14"/>
    <x v="7"/>
    <x v="2"/>
    <x v="1"/>
    <n v="1"/>
    <n v="1500"/>
    <n v="0.15"/>
    <n v="1275"/>
    <x v="2"/>
  </r>
  <r>
    <n v="1062"/>
    <s v="24-04-2024"/>
    <x v="2"/>
    <x v="2"/>
    <x v="4"/>
    <x v="1"/>
    <n v="3"/>
    <n v="2000"/>
    <n v="0.05"/>
    <n v="5700"/>
    <x v="2"/>
  </r>
  <r>
    <n v="1063"/>
    <s v="05-02-2024"/>
    <x v="3"/>
    <x v="3"/>
    <x v="2"/>
    <x v="1"/>
    <n v="3"/>
    <n v="1500"/>
    <n v="0.1"/>
    <n v="4050"/>
    <x v="9"/>
  </r>
  <r>
    <n v="1064"/>
    <s v="15-01-2024"/>
    <x v="5"/>
    <x v="6"/>
    <x v="2"/>
    <x v="1"/>
    <n v="5"/>
    <n v="1500"/>
    <n v="0.1"/>
    <n v="6750"/>
    <x v="4"/>
  </r>
  <r>
    <n v="1065"/>
    <s v="20-01-2024"/>
    <x v="5"/>
    <x v="5"/>
    <x v="3"/>
    <x v="0"/>
    <n v="5"/>
    <n v="30000"/>
    <n v="0.1"/>
    <n v="135000"/>
    <x v="4"/>
  </r>
  <r>
    <n v="1066"/>
    <s v="06-11-2024"/>
    <x v="5"/>
    <x v="5"/>
    <x v="4"/>
    <x v="1"/>
    <n v="3"/>
    <n v="2000"/>
    <n v="0.15"/>
    <n v="5100"/>
    <x v="5"/>
  </r>
  <r>
    <n v="1067"/>
    <s v="28-12-2024"/>
    <x v="1"/>
    <x v="1"/>
    <x v="6"/>
    <x v="2"/>
    <n v="3"/>
    <n v="3000"/>
    <n v="0"/>
    <n v="9000"/>
    <x v="7"/>
  </r>
  <r>
    <n v="1068"/>
    <s v="05-02-2024"/>
    <x v="9"/>
    <x v="3"/>
    <x v="6"/>
    <x v="2"/>
    <n v="3"/>
    <n v="3000"/>
    <n v="0.15"/>
    <n v="7650"/>
    <x v="9"/>
  </r>
  <r>
    <n v="1069"/>
    <s v="07-12-2024"/>
    <x v="1"/>
    <x v="3"/>
    <x v="0"/>
    <x v="0"/>
    <n v="3"/>
    <n v="20000"/>
    <n v="0.1"/>
    <n v="54000"/>
    <x v="7"/>
  </r>
  <r>
    <n v="1070"/>
    <s v="08-04-2024"/>
    <x v="1"/>
    <x v="5"/>
    <x v="2"/>
    <x v="1"/>
    <n v="3"/>
    <n v="1500"/>
    <n v="0.05"/>
    <n v="4275"/>
    <x v="2"/>
  </r>
  <r>
    <n v="1071"/>
    <s v="26-07-2024"/>
    <x v="2"/>
    <x v="6"/>
    <x v="3"/>
    <x v="0"/>
    <n v="5"/>
    <n v="30000"/>
    <n v="0.1"/>
    <n v="135000"/>
    <x v="3"/>
  </r>
  <r>
    <n v="1072"/>
    <s v="23-10-2024"/>
    <x v="9"/>
    <x v="7"/>
    <x v="5"/>
    <x v="2"/>
    <n v="2"/>
    <n v="7000"/>
    <n v="0.15"/>
    <n v="11900"/>
    <x v="1"/>
  </r>
  <r>
    <n v="1073"/>
    <s v="18-09-2024"/>
    <x v="10"/>
    <x v="0"/>
    <x v="7"/>
    <x v="0"/>
    <n v="4"/>
    <n v="12000"/>
    <n v="0.05"/>
    <n v="45600"/>
    <x v="10"/>
  </r>
  <r>
    <n v="1074"/>
    <s v="17-02-2024"/>
    <x v="0"/>
    <x v="6"/>
    <x v="0"/>
    <x v="0"/>
    <n v="3"/>
    <n v="20000"/>
    <n v="0.1"/>
    <n v="54000"/>
    <x v="9"/>
  </r>
  <r>
    <n v="1075"/>
    <s v="13-01-2024"/>
    <x v="15"/>
    <x v="2"/>
    <x v="6"/>
    <x v="2"/>
    <n v="2"/>
    <n v="3000"/>
    <n v="0.05"/>
    <n v="5700"/>
    <x v="4"/>
  </r>
  <r>
    <n v="1076"/>
    <s v="21-08-2024"/>
    <x v="1"/>
    <x v="2"/>
    <x v="7"/>
    <x v="0"/>
    <n v="5"/>
    <n v="12000"/>
    <n v="0"/>
    <n v="60000"/>
    <x v="6"/>
  </r>
  <r>
    <n v="1077"/>
    <s v="04-05-2024"/>
    <x v="4"/>
    <x v="1"/>
    <x v="2"/>
    <x v="1"/>
    <n v="4"/>
    <n v="1500"/>
    <n v="0.15"/>
    <n v="5100"/>
    <x v="0"/>
  </r>
  <r>
    <n v="1078"/>
    <s v="31-03-2024"/>
    <x v="6"/>
    <x v="1"/>
    <x v="0"/>
    <x v="0"/>
    <n v="4"/>
    <n v="20000"/>
    <n v="0.05"/>
    <n v="76000"/>
    <x v="8"/>
  </r>
  <r>
    <n v="1079"/>
    <s v="09-03-2024"/>
    <x v="6"/>
    <x v="3"/>
    <x v="6"/>
    <x v="2"/>
    <n v="1"/>
    <n v="3000"/>
    <n v="0.15"/>
    <n v="2550"/>
    <x v="8"/>
  </r>
  <r>
    <n v="1080"/>
    <s v="07-10-2024"/>
    <x v="6"/>
    <x v="0"/>
    <x v="7"/>
    <x v="0"/>
    <n v="5"/>
    <n v="12000"/>
    <n v="0.15"/>
    <n v="51000"/>
    <x v="1"/>
  </r>
  <r>
    <n v="1081"/>
    <s v="06-05-2024"/>
    <x v="3"/>
    <x v="7"/>
    <x v="7"/>
    <x v="0"/>
    <n v="4"/>
    <n v="12000"/>
    <n v="0.1"/>
    <n v="43200"/>
    <x v="0"/>
  </r>
  <r>
    <n v="1082"/>
    <s v="09-02-2024"/>
    <x v="13"/>
    <x v="2"/>
    <x v="6"/>
    <x v="2"/>
    <n v="3"/>
    <n v="3000"/>
    <n v="0.15"/>
    <n v="7650"/>
    <x v="9"/>
  </r>
  <r>
    <n v="1083"/>
    <s v="03-10-2024"/>
    <x v="8"/>
    <x v="0"/>
    <x v="5"/>
    <x v="2"/>
    <n v="3"/>
    <n v="7000"/>
    <n v="0.1"/>
    <n v="18900"/>
    <x v="1"/>
  </r>
  <r>
    <n v="1084"/>
    <s v="21-12-2024"/>
    <x v="4"/>
    <x v="2"/>
    <x v="3"/>
    <x v="0"/>
    <n v="2"/>
    <n v="30000"/>
    <n v="0.15"/>
    <n v="51000"/>
    <x v="7"/>
  </r>
  <r>
    <n v="1085"/>
    <s v="18-06-2024"/>
    <x v="6"/>
    <x v="5"/>
    <x v="0"/>
    <x v="0"/>
    <n v="4"/>
    <n v="20000"/>
    <n v="0.15"/>
    <n v="68000"/>
    <x v="11"/>
  </r>
  <r>
    <n v="1086"/>
    <s v="18-07-2024"/>
    <x v="2"/>
    <x v="5"/>
    <x v="1"/>
    <x v="0"/>
    <n v="2"/>
    <n v="50000"/>
    <n v="0.15"/>
    <n v="85000"/>
    <x v="3"/>
  </r>
  <r>
    <n v="1087"/>
    <s v="01-06-2024"/>
    <x v="11"/>
    <x v="5"/>
    <x v="7"/>
    <x v="0"/>
    <n v="1"/>
    <n v="12000"/>
    <n v="0.1"/>
    <n v="10800"/>
    <x v="11"/>
  </r>
  <r>
    <n v="1088"/>
    <s v="19-05-2024"/>
    <x v="1"/>
    <x v="7"/>
    <x v="6"/>
    <x v="2"/>
    <n v="4"/>
    <n v="3000"/>
    <n v="0.05"/>
    <n v="11400"/>
    <x v="0"/>
  </r>
  <r>
    <n v="1089"/>
    <s v="08-12-2024"/>
    <x v="11"/>
    <x v="0"/>
    <x v="1"/>
    <x v="0"/>
    <n v="4"/>
    <n v="50000"/>
    <n v="0.1"/>
    <n v="180000"/>
    <x v="7"/>
  </r>
  <r>
    <n v="1090"/>
    <s v="20-07-2024"/>
    <x v="2"/>
    <x v="4"/>
    <x v="7"/>
    <x v="0"/>
    <n v="2"/>
    <n v="12000"/>
    <n v="0"/>
    <n v="24000"/>
    <x v="3"/>
  </r>
  <r>
    <n v="1091"/>
    <s v="03-04-2024"/>
    <x v="15"/>
    <x v="6"/>
    <x v="2"/>
    <x v="1"/>
    <n v="2"/>
    <n v="1500"/>
    <n v="0.15"/>
    <n v="2550"/>
    <x v="2"/>
  </r>
  <r>
    <n v="1092"/>
    <s v="20-08-2024"/>
    <x v="9"/>
    <x v="3"/>
    <x v="2"/>
    <x v="1"/>
    <n v="3"/>
    <n v="1500"/>
    <n v="0.05"/>
    <n v="4275"/>
    <x v="6"/>
  </r>
  <r>
    <n v="1093"/>
    <s v="09-05-2024"/>
    <x v="8"/>
    <x v="7"/>
    <x v="2"/>
    <x v="1"/>
    <n v="3"/>
    <n v="1500"/>
    <n v="0.15"/>
    <n v="3825"/>
    <x v="0"/>
  </r>
  <r>
    <n v="1094"/>
    <s v="28-06-2024"/>
    <x v="0"/>
    <x v="4"/>
    <x v="1"/>
    <x v="0"/>
    <n v="5"/>
    <n v="50000"/>
    <n v="0"/>
    <n v="250000"/>
    <x v="11"/>
  </r>
  <r>
    <n v="1095"/>
    <s v="12-04-2024"/>
    <x v="2"/>
    <x v="0"/>
    <x v="1"/>
    <x v="0"/>
    <n v="1"/>
    <n v="50000"/>
    <n v="0.05"/>
    <n v="47500"/>
    <x v="2"/>
  </r>
  <r>
    <n v="1096"/>
    <s v="08-12-2024"/>
    <x v="5"/>
    <x v="2"/>
    <x v="6"/>
    <x v="2"/>
    <n v="2"/>
    <n v="3000"/>
    <n v="0.15"/>
    <n v="5100"/>
    <x v="7"/>
  </r>
  <r>
    <n v="1097"/>
    <s v="26-03-2024"/>
    <x v="5"/>
    <x v="0"/>
    <x v="7"/>
    <x v="0"/>
    <n v="3"/>
    <n v="12000"/>
    <n v="0.1"/>
    <n v="32400"/>
    <x v="8"/>
  </r>
  <r>
    <n v="1098"/>
    <s v="08-06-2024"/>
    <x v="11"/>
    <x v="5"/>
    <x v="5"/>
    <x v="2"/>
    <n v="1"/>
    <n v="7000"/>
    <n v="0"/>
    <n v="7000"/>
    <x v="11"/>
  </r>
  <r>
    <n v="1099"/>
    <s v="22-02-2024"/>
    <x v="13"/>
    <x v="4"/>
    <x v="6"/>
    <x v="2"/>
    <n v="1"/>
    <n v="3000"/>
    <n v="0.05"/>
    <n v="2850"/>
    <x v="9"/>
  </r>
  <r>
    <n v="1100"/>
    <s v="04-12-2024"/>
    <x v="7"/>
    <x v="4"/>
    <x v="1"/>
    <x v="0"/>
    <n v="3"/>
    <n v="50000"/>
    <n v="0.15"/>
    <n v="127500"/>
    <x v="7"/>
  </r>
  <r>
    <n v="1101"/>
    <s v="07-09-2024"/>
    <x v="5"/>
    <x v="5"/>
    <x v="4"/>
    <x v="1"/>
    <n v="1"/>
    <n v="2000"/>
    <n v="0.15"/>
    <n v="1700"/>
    <x v="10"/>
  </r>
  <r>
    <n v="1102"/>
    <s v="10-08-2024"/>
    <x v="12"/>
    <x v="6"/>
    <x v="4"/>
    <x v="1"/>
    <n v="4"/>
    <n v="2000"/>
    <n v="0.05"/>
    <n v="7600"/>
    <x v="6"/>
  </r>
  <r>
    <n v="1103"/>
    <s v="30-10-2024"/>
    <x v="3"/>
    <x v="3"/>
    <x v="7"/>
    <x v="0"/>
    <n v="4"/>
    <n v="12000"/>
    <n v="0.15"/>
    <n v="40800"/>
    <x v="1"/>
  </r>
  <r>
    <n v="1104"/>
    <s v="18-08-2024"/>
    <x v="0"/>
    <x v="7"/>
    <x v="6"/>
    <x v="2"/>
    <n v="1"/>
    <n v="3000"/>
    <n v="0.1"/>
    <n v="2700"/>
    <x v="6"/>
  </r>
  <r>
    <n v="1105"/>
    <s v="10-09-2024"/>
    <x v="9"/>
    <x v="0"/>
    <x v="2"/>
    <x v="1"/>
    <n v="3"/>
    <n v="1500"/>
    <n v="0"/>
    <n v="4500"/>
    <x v="10"/>
  </r>
  <r>
    <n v="1106"/>
    <s v="12-05-2024"/>
    <x v="9"/>
    <x v="6"/>
    <x v="7"/>
    <x v="0"/>
    <n v="2"/>
    <n v="12000"/>
    <n v="0.1"/>
    <n v="21600"/>
    <x v="0"/>
  </r>
  <r>
    <n v="1107"/>
    <s v="21-09-2024"/>
    <x v="14"/>
    <x v="4"/>
    <x v="5"/>
    <x v="2"/>
    <n v="5"/>
    <n v="7000"/>
    <n v="0"/>
    <n v="35000"/>
    <x v="10"/>
  </r>
  <r>
    <n v="1108"/>
    <s v="11-10-2024"/>
    <x v="0"/>
    <x v="7"/>
    <x v="6"/>
    <x v="2"/>
    <n v="4"/>
    <n v="3000"/>
    <n v="0.15"/>
    <n v="10200"/>
    <x v="1"/>
  </r>
  <r>
    <n v="1109"/>
    <s v="17-02-2024"/>
    <x v="13"/>
    <x v="2"/>
    <x v="7"/>
    <x v="0"/>
    <n v="4"/>
    <n v="12000"/>
    <n v="0"/>
    <n v="48000"/>
    <x v="9"/>
  </r>
  <r>
    <n v="1110"/>
    <s v="05-12-2024"/>
    <x v="7"/>
    <x v="7"/>
    <x v="2"/>
    <x v="1"/>
    <n v="2"/>
    <n v="1500"/>
    <n v="0.1"/>
    <n v="2700"/>
    <x v="7"/>
  </r>
  <r>
    <n v="1111"/>
    <s v="29-06-2024"/>
    <x v="6"/>
    <x v="6"/>
    <x v="4"/>
    <x v="1"/>
    <n v="4"/>
    <n v="2000"/>
    <n v="0.1"/>
    <n v="7200"/>
    <x v="11"/>
  </r>
  <r>
    <n v="1112"/>
    <s v="02-03-2024"/>
    <x v="14"/>
    <x v="3"/>
    <x v="5"/>
    <x v="2"/>
    <n v="3"/>
    <n v="7000"/>
    <n v="0.05"/>
    <n v="19950"/>
    <x v="8"/>
  </r>
  <r>
    <n v="1113"/>
    <s v="08-04-2024"/>
    <x v="14"/>
    <x v="7"/>
    <x v="0"/>
    <x v="0"/>
    <n v="5"/>
    <n v="20000"/>
    <n v="0.05"/>
    <n v="95000"/>
    <x v="2"/>
  </r>
  <r>
    <n v="1114"/>
    <s v="21-02-2024"/>
    <x v="14"/>
    <x v="6"/>
    <x v="5"/>
    <x v="2"/>
    <n v="5"/>
    <n v="7000"/>
    <n v="0.1"/>
    <n v="31500"/>
    <x v="9"/>
  </r>
  <r>
    <n v="1115"/>
    <s v="03-06-2024"/>
    <x v="2"/>
    <x v="0"/>
    <x v="6"/>
    <x v="2"/>
    <n v="3"/>
    <n v="3000"/>
    <n v="0.05"/>
    <n v="8550"/>
    <x v="11"/>
  </r>
  <r>
    <n v="1116"/>
    <s v="10-10-2024"/>
    <x v="13"/>
    <x v="0"/>
    <x v="5"/>
    <x v="2"/>
    <n v="1"/>
    <n v="7000"/>
    <n v="0"/>
    <n v="7000"/>
    <x v="1"/>
  </r>
  <r>
    <n v="1117"/>
    <s v="20-10-2024"/>
    <x v="13"/>
    <x v="7"/>
    <x v="7"/>
    <x v="0"/>
    <n v="1"/>
    <n v="12000"/>
    <n v="0"/>
    <n v="12000"/>
    <x v="1"/>
  </r>
  <r>
    <n v="1118"/>
    <s v="04-04-2024"/>
    <x v="15"/>
    <x v="6"/>
    <x v="7"/>
    <x v="0"/>
    <n v="4"/>
    <n v="12000"/>
    <n v="0.1"/>
    <n v="43200"/>
    <x v="2"/>
  </r>
  <r>
    <n v="1119"/>
    <s v="24-07-2024"/>
    <x v="10"/>
    <x v="4"/>
    <x v="7"/>
    <x v="0"/>
    <n v="1"/>
    <n v="12000"/>
    <n v="0"/>
    <n v="12000"/>
    <x v="3"/>
  </r>
  <r>
    <n v="1120"/>
    <s v="15-10-2024"/>
    <x v="13"/>
    <x v="4"/>
    <x v="1"/>
    <x v="0"/>
    <n v="2"/>
    <n v="50000"/>
    <n v="0.05"/>
    <n v="95000"/>
    <x v="1"/>
  </r>
  <r>
    <n v="1121"/>
    <s v="06-11-2024"/>
    <x v="0"/>
    <x v="5"/>
    <x v="6"/>
    <x v="2"/>
    <n v="1"/>
    <n v="3000"/>
    <n v="0.15"/>
    <n v="2550"/>
    <x v="5"/>
  </r>
  <r>
    <n v="1122"/>
    <s v="28-10-2024"/>
    <x v="1"/>
    <x v="6"/>
    <x v="7"/>
    <x v="0"/>
    <n v="4"/>
    <n v="12000"/>
    <n v="0.1"/>
    <n v="43200"/>
    <x v="1"/>
  </r>
  <r>
    <n v="1123"/>
    <s v="16-04-2024"/>
    <x v="14"/>
    <x v="6"/>
    <x v="1"/>
    <x v="0"/>
    <n v="5"/>
    <n v="50000"/>
    <n v="0"/>
    <n v="250000"/>
    <x v="2"/>
  </r>
  <r>
    <n v="1124"/>
    <s v="29-03-2024"/>
    <x v="8"/>
    <x v="0"/>
    <x v="0"/>
    <x v="0"/>
    <n v="2"/>
    <n v="20000"/>
    <n v="0.05"/>
    <n v="38000"/>
    <x v="8"/>
  </r>
  <r>
    <n v="1125"/>
    <s v="18-12-2024"/>
    <x v="10"/>
    <x v="6"/>
    <x v="1"/>
    <x v="0"/>
    <n v="4"/>
    <n v="50000"/>
    <n v="0.15"/>
    <n v="170000"/>
    <x v="7"/>
  </r>
  <r>
    <n v="1126"/>
    <s v="27-12-2024"/>
    <x v="13"/>
    <x v="7"/>
    <x v="1"/>
    <x v="0"/>
    <n v="2"/>
    <n v="50000"/>
    <n v="0.1"/>
    <n v="90000"/>
    <x v="7"/>
  </r>
  <r>
    <n v="1127"/>
    <s v="16-11-2024"/>
    <x v="14"/>
    <x v="5"/>
    <x v="0"/>
    <x v="0"/>
    <n v="2"/>
    <n v="20000"/>
    <n v="0.1"/>
    <n v="36000"/>
    <x v="5"/>
  </r>
  <r>
    <n v="1128"/>
    <s v="27-11-2024"/>
    <x v="4"/>
    <x v="6"/>
    <x v="0"/>
    <x v="0"/>
    <n v="5"/>
    <n v="20000"/>
    <n v="0.05"/>
    <n v="95000"/>
    <x v="5"/>
  </r>
  <r>
    <n v="1129"/>
    <s v="25-03-2024"/>
    <x v="13"/>
    <x v="6"/>
    <x v="3"/>
    <x v="0"/>
    <n v="1"/>
    <n v="30000"/>
    <n v="0"/>
    <n v="30000"/>
    <x v="8"/>
  </r>
  <r>
    <n v="1130"/>
    <s v="18-12-2024"/>
    <x v="13"/>
    <x v="5"/>
    <x v="7"/>
    <x v="0"/>
    <n v="1"/>
    <n v="12000"/>
    <n v="0.15"/>
    <n v="10200"/>
    <x v="7"/>
  </r>
  <r>
    <n v="1131"/>
    <s v="12-08-2024"/>
    <x v="8"/>
    <x v="1"/>
    <x v="5"/>
    <x v="2"/>
    <n v="5"/>
    <n v="7000"/>
    <n v="0.15"/>
    <n v="29750"/>
    <x v="6"/>
  </r>
  <r>
    <n v="1132"/>
    <s v="14-01-2024"/>
    <x v="8"/>
    <x v="2"/>
    <x v="2"/>
    <x v="1"/>
    <n v="3"/>
    <n v="1500"/>
    <n v="0.1"/>
    <n v="4050"/>
    <x v="4"/>
  </r>
  <r>
    <n v="1133"/>
    <s v="30-03-2024"/>
    <x v="10"/>
    <x v="7"/>
    <x v="1"/>
    <x v="0"/>
    <n v="3"/>
    <n v="50000"/>
    <n v="0"/>
    <n v="150000"/>
    <x v="8"/>
  </r>
  <r>
    <n v="1134"/>
    <s v="21-11-2024"/>
    <x v="10"/>
    <x v="4"/>
    <x v="5"/>
    <x v="2"/>
    <n v="2"/>
    <n v="7000"/>
    <n v="0.15"/>
    <n v="11900"/>
    <x v="5"/>
  </r>
  <r>
    <n v="1135"/>
    <s v="19-06-2024"/>
    <x v="9"/>
    <x v="4"/>
    <x v="7"/>
    <x v="0"/>
    <n v="3"/>
    <n v="12000"/>
    <n v="0.15"/>
    <n v="30600"/>
    <x v="11"/>
  </r>
  <r>
    <n v="1136"/>
    <s v="21-12-2024"/>
    <x v="10"/>
    <x v="6"/>
    <x v="3"/>
    <x v="0"/>
    <n v="3"/>
    <n v="30000"/>
    <n v="0.15"/>
    <n v="76500"/>
    <x v="7"/>
  </r>
  <r>
    <n v="1137"/>
    <s v="20-08-2024"/>
    <x v="8"/>
    <x v="3"/>
    <x v="2"/>
    <x v="1"/>
    <n v="5"/>
    <n v="1500"/>
    <n v="0"/>
    <n v="7500"/>
    <x v="6"/>
  </r>
  <r>
    <n v="1138"/>
    <s v="25-07-2024"/>
    <x v="2"/>
    <x v="7"/>
    <x v="5"/>
    <x v="2"/>
    <n v="3"/>
    <n v="7000"/>
    <n v="0"/>
    <n v="21000"/>
    <x v="3"/>
  </r>
  <r>
    <n v="1139"/>
    <s v="22-09-2024"/>
    <x v="7"/>
    <x v="7"/>
    <x v="2"/>
    <x v="1"/>
    <n v="1"/>
    <n v="1500"/>
    <n v="0.05"/>
    <n v="1425"/>
    <x v="10"/>
  </r>
  <r>
    <n v="1140"/>
    <s v="16-05-2024"/>
    <x v="4"/>
    <x v="6"/>
    <x v="7"/>
    <x v="0"/>
    <n v="1"/>
    <n v="12000"/>
    <n v="0.05"/>
    <n v="11400"/>
    <x v="0"/>
  </r>
  <r>
    <n v="1141"/>
    <s v="15-01-2024"/>
    <x v="0"/>
    <x v="0"/>
    <x v="7"/>
    <x v="0"/>
    <n v="4"/>
    <n v="12000"/>
    <n v="0"/>
    <n v="48000"/>
    <x v="4"/>
  </r>
  <r>
    <n v="1142"/>
    <s v="09-10-2024"/>
    <x v="1"/>
    <x v="4"/>
    <x v="5"/>
    <x v="2"/>
    <n v="5"/>
    <n v="7000"/>
    <n v="0"/>
    <n v="35000"/>
    <x v="1"/>
  </r>
  <r>
    <n v="1143"/>
    <s v="01-03-2024"/>
    <x v="4"/>
    <x v="7"/>
    <x v="6"/>
    <x v="2"/>
    <n v="1"/>
    <n v="3000"/>
    <n v="0.15"/>
    <n v="2550"/>
    <x v="8"/>
  </r>
  <r>
    <n v="1144"/>
    <s v="31-07-2024"/>
    <x v="10"/>
    <x v="7"/>
    <x v="5"/>
    <x v="2"/>
    <n v="5"/>
    <n v="7000"/>
    <n v="0.1"/>
    <n v="31500"/>
    <x v="3"/>
  </r>
  <r>
    <n v="1145"/>
    <s v="15-07-2024"/>
    <x v="14"/>
    <x v="0"/>
    <x v="6"/>
    <x v="2"/>
    <n v="4"/>
    <n v="3000"/>
    <n v="0.05"/>
    <n v="11400"/>
    <x v="3"/>
  </r>
  <r>
    <n v="1146"/>
    <s v="23-06-2024"/>
    <x v="3"/>
    <x v="1"/>
    <x v="0"/>
    <x v="0"/>
    <n v="3"/>
    <n v="20000"/>
    <n v="0.15"/>
    <n v="51000"/>
    <x v="11"/>
  </r>
  <r>
    <n v="1147"/>
    <s v="17-03-2024"/>
    <x v="6"/>
    <x v="7"/>
    <x v="5"/>
    <x v="2"/>
    <n v="3"/>
    <n v="7000"/>
    <n v="0.15"/>
    <n v="17850"/>
    <x v="8"/>
  </r>
  <r>
    <n v="1148"/>
    <s v="21-08-2024"/>
    <x v="9"/>
    <x v="2"/>
    <x v="4"/>
    <x v="1"/>
    <n v="3"/>
    <n v="2000"/>
    <n v="0.15"/>
    <n v="5100"/>
    <x v="6"/>
  </r>
  <r>
    <n v="1149"/>
    <s v="29-04-2024"/>
    <x v="1"/>
    <x v="1"/>
    <x v="6"/>
    <x v="2"/>
    <n v="5"/>
    <n v="3000"/>
    <n v="0.15"/>
    <n v="12750"/>
    <x v="2"/>
  </r>
  <r>
    <n v="1150"/>
    <s v="16-07-2024"/>
    <x v="4"/>
    <x v="7"/>
    <x v="4"/>
    <x v="1"/>
    <n v="4"/>
    <n v="2000"/>
    <n v="0.15"/>
    <n v="6800"/>
    <x v="3"/>
  </r>
  <r>
    <n v="1151"/>
    <s v="21-02-2024"/>
    <x v="6"/>
    <x v="4"/>
    <x v="1"/>
    <x v="0"/>
    <n v="2"/>
    <n v="50000"/>
    <n v="0.1"/>
    <n v="90000"/>
    <x v="9"/>
  </r>
  <r>
    <n v="1152"/>
    <s v="28-07-2024"/>
    <x v="4"/>
    <x v="4"/>
    <x v="7"/>
    <x v="0"/>
    <n v="1"/>
    <n v="12000"/>
    <n v="0.05"/>
    <n v="11400"/>
    <x v="3"/>
  </r>
  <r>
    <n v="1153"/>
    <s v="15-11-2024"/>
    <x v="11"/>
    <x v="4"/>
    <x v="7"/>
    <x v="0"/>
    <n v="3"/>
    <n v="12000"/>
    <n v="0.1"/>
    <n v="32400"/>
    <x v="5"/>
  </r>
  <r>
    <n v="1154"/>
    <s v="11-06-2024"/>
    <x v="10"/>
    <x v="1"/>
    <x v="4"/>
    <x v="1"/>
    <n v="5"/>
    <n v="2000"/>
    <n v="0.15"/>
    <n v="8500"/>
    <x v="11"/>
  </r>
  <r>
    <n v="1155"/>
    <s v="26-04-2024"/>
    <x v="8"/>
    <x v="5"/>
    <x v="0"/>
    <x v="0"/>
    <n v="2"/>
    <n v="20000"/>
    <n v="0.1"/>
    <n v="36000"/>
    <x v="2"/>
  </r>
  <r>
    <n v="1156"/>
    <s v="26-03-2024"/>
    <x v="13"/>
    <x v="1"/>
    <x v="0"/>
    <x v="0"/>
    <n v="1"/>
    <n v="20000"/>
    <n v="0.15"/>
    <n v="17000"/>
    <x v="8"/>
  </r>
  <r>
    <n v="1157"/>
    <s v="30-05-2024"/>
    <x v="7"/>
    <x v="3"/>
    <x v="1"/>
    <x v="0"/>
    <n v="3"/>
    <n v="50000"/>
    <n v="0"/>
    <n v="150000"/>
    <x v="0"/>
  </r>
  <r>
    <n v="1158"/>
    <s v="28-09-2024"/>
    <x v="1"/>
    <x v="0"/>
    <x v="2"/>
    <x v="1"/>
    <n v="2"/>
    <n v="1500"/>
    <n v="0.05"/>
    <n v="2850"/>
    <x v="10"/>
  </r>
  <r>
    <n v="1159"/>
    <s v="08-11-2024"/>
    <x v="11"/>
    <x v="2"/>
    <x v="3"/>
    <x v="0"/>
    <n v="2"/>
    <n v="30000"/>
    <n v="0"/>
    <n v="60000"/>
    <x v="5"/>
  </r>
  <r>
    <n v="1160"/>
    <s v="28-04-2024"/>
    <x v="6"/>
    <x v="6"/>
    <x v="7"/>
    <x v="0"/>
    <n v="5"/>
    <n v="12000"/>
    <n v="0.05"/>
    <n v="57000"/>
    <x v="2"/>
  </r>
  <r>
    <n v="1161"/>
    <s v="26-08-2024"/>
    <x v="13"/>
    <x v="0"/>
    <x v="7"/>
    <x v="0"/>
    <n v="3"/>
    <n v="12000"/>
    <n v="0"/>
    <n v="36000"/>
    <x v="6"/>
  </r>
  <r>
    <n v="1162"/>
    <s v="27-10-2024"/>
    <x v="13"/>
    <x v="5"/>
    <x v="0"/>
    <x v="0"/>
    <n v="4"/>
    <n v="20000"/>
    <n v="0.1"/>
    <n v="72000"/>
    <x v="1"/>
  </r>
  <r>
    <n v="1163"/>
    <s v="11-04-2024"/>
    <x v="11"/>
    <x v="7"/>
    <x v="5"/>
    <x v="2"/>
    <n v="4"/>
    <n v="7000"/>
    <n v="0.1"/>
    <n v="25200"/>
    <x v="2"/>
  </r>
  <r>
    <n v="1164"/>
    <s v="19-10-2024"/>
    <x v="7"/>
    <x v="6"/>
    <x v="0"/>
    <x v="0"/>
    <n v="2"/>
    <n v="20000"/>
    <n v="0.15"/>
    <n v="34000"/>
    <x v="1"/>
  </r>
  <r>
    <n v="1165"/>
    <s v="20-05-2024"/>
    <x v="2"/>
    <x v="1"/>
    <x v="5"/>
    <x v="2"/>
    <n v="1"/>
    <n v="7000"/>
    <n v="0.15"/>
    <n v="5950"/>
    <x v="0"/>
  </r>
  <r>
    <n v="1166"/>
    <s v="06-11-2024"/>
    <x v="7"/>
    <x v="2"/>
    <x v="7"/>
    <x v="0"/>
    <n v="3"/>
    <n v="12000"/>
    <n v="0.05"/>
    <n v="34200"/>
    <x v="5"/>
  </r>
  <r>
    <n v="1167"/>
    <s v="13-12-2024"/>
    <x v="4"/>
    <x v="4"/>
    <x v="6"/>
    <x v="2"/>
    <n v="5"/>
    <n v="3000"/>
    <n v="0.1"/>
    <n v="13500"/>
    <x v="7"/>
  </r>
  <r>
    <n v="1168"/>
    <s v="18-01-2024"/>
    <x v="7"/>
    <x v="0"/>
    <x v="1"/>
    <x v="0"/>
    <n v="3"/>
    <n v="50000"/>
    <n v="0.15"/>
    <n v="127500"/>
    <x v="4"/>
  </r>
  <r>
    <n v="1169"/>
    <s v="31-07-2024"/>
    <x v="12"/>
    <x v="2"/>
    <x v="0"/>
    <x v="0"/>
    <n v="3"/>
    <n v="20000"/>
    <n v="0.1"/>
    <n v="54000"/>
    <x v="3"/>
  </r>
  <r>
    <n v="1170"/>
    <s v="28-09-2024"/>
    <x v="3"/>
    <x v="0"/>
    <x v="3"/>
    <x v="0"/>
    <n v="5"/>
    <n v="30000"/>
    <n v="0.1"/>
    <n v="135000"/>
    <x v="10"/>
  </r>
  <r>
    <n v="1171"/>
    <s v="22-06-2024"/>
    <x v="5"/>
    <x v="7"/>
    <x v="5"/>
    <x v="2"/>
    <n v="4"/>
    <n v="7000"/>
    <n v="0.1"/>
    <n v="25200"/>
    <x v="11"/>
  </r>
  <r>
    <n v="1172"/>
    <s v="12-12-2024"/>
    <x v="11"/>
    <x v="3"/>
    <x v="0"/>
    <x v="0"/>
    <n v="2"/>
    <n v="20000"/>
    <n v="0.05"/>
    <n v="38000"/>
    <x v="7"/>
  </r>
  <r>
    <n v="1173"/>
    <s v="15-05-2024"/>
    <x v="5"/>
    <x v="7"/>
    <x v="0"/>
    <x v="0"/>
    <n v="4"/>
    <n v="20000"/>
    <n v="0"/>
    <n v="80000"/>
    <x v="0"/>
  </r>
  <r>
    <n v="1174"/>
    <s v="22-11-2024"/>
    <x v="7"/>
    <x v="4"/>
    <x v="4"/>
    <x v="1"/>
    <n v="3"/>
    <n v="2000"/>
    <n v="0.15"/>
    <n v="5100"/>
    <x v="5"/>
  </r>
  <r>
    <n v="1175"/>
    <s v="13-11-2024"/>
    <x v="9"/>
    <x v="2"/>
    <x v="6"/>
    <x v="2"/>
    <n v="4"/>
    <n v="3000"/>
    <n v="0"/>
    <n v="12000"/>
    <x v="5"/>
  </r>
  <r>
    <n v="1176"/>
    <s v="28-11-2024"/>
    <x v="1"/>
    <x v="4"/>
    <x v="0"/>
    <x v="0"/>
    <n v="4"/>
    <n v="20000"/>
    <n v="0.1"/>
    <n v="72000"/>
    <x v="5"/>
  </r>
  <r>
    <n v="1177"/>
    <s v="04-06-2024"/>
    <x v="10"/>
    <x v="4"/>
    <x v="3"/>
    <x v="0"/>
    <n v="1"/>
    <n v="30000"/>
    <n v="0"/>
    <n v="30000"/>
    <x v="11"/>
  </r>
  <r>
    <n v="1178"/>
    <s v="17-07-2024"/>
    <x v="6"/>
    <x v="3"/>
    <x v="0"/>
    <x v="0"/>
    <n v="2"/>
    <n v="20000"/>
    <n v="0.05"/>
    <n v="38000"/>
    <x v="3"/>
  </r>
  <r>
    <n v="1179"/>
    <s v="31-07-2024"/>
    <x v="5"/>
    <x v="7"/>
    <x v="2"/>
    <x v="1"/>
    <n v="5"/>
    <n v="1500"/>
    <n v="0.05"/>
    <n v="7125"/>
    <x v="3"/>
  </r>
  <r>
    <n v="1180"/>
    <s v="19-12-2024"/>
    <x v="7"/>
    <x v="2"/>
    <x v="2"/>
    <x v="1"/>
    <n v="3"/>
    <n v="1500"/>
    <n v="0"/>
    <n v="4500"/>
    <x v="7"/>
  </r>
  <r>
    <n v="1181"/>
    <s v="04-07-2024"/>
    <x v="5"/>
    <x v="3"/>
    <x v="7"/>
    <x v="0"/>
    <n v="4"/>
    <n v="12000"/>
    <n v="0.05"/>
    <n v="45600"/>
    <x v="3"/>
  </r>
  <r>
    <n v="1182"/>
    <s v="21-05-2024"/>
    <x v="14"/>
    <x v="4"/>
    <x v="4"/>
    <x v="1"/>
    <n v="1"/>
    <n v="2000"/>
    <n v="0.15"/>
    <n v="1700"/>
    <x v="0"/>
  </r>
  <r>
    <n v="1183"/>
    <s v="24-11-2024"/>
    <x v="2"/>
    <x v="1"/>
    <x v="7"/>
    <x v="0"/>
    <n v="1"/>
    <n v="12000"/>
    <n v="0.05"/>
    <n v="11400"/>
    <x v="5"/>
  </r>
  <r>
    <n v="1184"/>
    <s v="16-10-2024"/>
    <x v="14"/>
    <x v="4"/>
    <x v="4"/>
    <x v="1"/>
    <n v="2"/>
    <n v="2000"/>
    <n v="0.05"/>
    <n v="3800"/>
    <x v="1"/>
  </r>
  <r>
    <n v="1185"/>
    <s v="29-04-2024"/>
    <x v="9"/>
    <x v="0"/>
    <x v="6"/>
    <x v="2"/>
    <n v="5"/>
    <n v="3000"/>
    <n v="0.05"/>
    <n v="14250"/>
    <x v="2"/>
  </r>
  <r>
    <n v="1186"/>
    <s v="07-03-2024"/>
    <x v="3"/>
    <x v="0"/>
    <x v="1"/>
    <x v="0"/>
    <n v="3"/>
    <n v="50000"/>
    <n v="0.05"/>
    <n v="142500"/>
    <x v="8"/>
  </r>
  <r>
    <n v="1187"/>
    <s v="08-01-2024"/>
    <x v="7"/>
    <x v="2"/>
    <x v="0"/>
    <x v="0"/>
    <n v="1"/>
    <n v="20000"/>
    <n v="0.05"/>
    <n v="19000"/>
    <x v="4"/>
  </r>
  <r>
    <n v="1188"/>
    <s v="15-05-2024"/>
    <x v="15"/>
    <x v="0"/>
    <x v="4"/>
    <x v="1"/>
    <n v="1"/>
    <n v="2000"/>
    <n v="0.05"/>
    <n v="1900"/>
    <x v="0"/>
  </r>
  <r>
    <n v="1189"/>
    <s v="02-02-2024"/>
    <x v="10"/>
    <x v="7"/>
    <x v="2"/>
    <x v="1"/>
    <n v="5"/>
    <n v="1500"/>
    <n v="0"/>
    <n v="7500"/>
    <x v="9"/>
  </r>
  <r>
    <n v="1190"/>
    <s v="19-08-2024"/>
    <x v="0"/>
    <x v="1"/>
    <x v="4"/>
    <x v="1"/>
    <n v="5"/>
    <n v="2000"/>
    <n v="0"/>
    <n v="10000"/>
    <x v="6"/>
  </r>
  <r>
    <n v="1191"/>
    <s v="01-02-2024"/>
    <x v="10"/>
    <x v="5"/>
    <x v="5"/>
    <x v="2"/>
    <n v="4"/>
    <n v="7000"/>
    <n v="0"/>
    <n v="28000"/>
    <x v="9"/>
  </r>
  <r>
    <n v="1192"/>
    <s v="30-12-2024"/>
    <x v="6"/>
    <x v="4"/>
    <x v="2"/>
    <x v="1"/>
    <n v="1"/>
    <n v="1500"/>
    <n v="0.15"/>
    <n v="1275"/>
    <x v="7"/>
  </r>
  <r>
    <n v="1193"/>
    <s v="03-02-2024"/>
    <x v="4"/>
    <x v="6"/>
    <x v="0"/>
    <x v="0"/>
    <n v="3"/>
    <n v="20000"/>
    <n v="0.05"/>
    <n v="57000"/>
    <x v="9"/>
  </r>
  <r>
    <n v="1194"/>
    <s v="20-08-2024"/>
    <x v="1"/>
    <x v="4"/>
    <x v="4"/>
    <x v="1"/>
    <n v="4"/>
    <n v="2000"/>
    <n v="0.1"/>
    <n v="7200"/>
    <x v="6"/>
  </r>
  <r>
    <n v="1195"/>
    <s v="08-08-2024"/>
    <x v="6"/>
    <x v="2"/>
    <x v="0"/>
    <x v="0"/>
    <n v="5"/>
    <n v="20000"/>
    <n v="0.05"/>
    <n v="95000"/>
    <x v="6"/>
  </r>
  <r>
    <n v="1196"/>
    <s v="23-07-2024"/>
    <x v="1"/>
    <x v="4"/>
    <x v="2"/>
    <x v="1"/>
    <n v="3"/>
    <n v="1500"/>
    <n v="0.15"/>
    <n v="3825"/>
    <x v="3"/>
  </r>
  <r>
    <n v="1197"/>
    <s v="06-12-2024"/>
    <x v="3"/>
    <x v="3"/>
    <x v="4"/>
    <x v="1"/>
    <n v="4"/>
    <n v="2000"/>
    <n v="0.1"/>
    <n v="7200"/>
    <x v="7"/>
  </r>
  <r>
    <n v="1198"/>
    <s v="16-02-2024"/>
    <x v="8"/>
    <x v="4"/>
    <x v="3"/>
    <x v="0"/>
    <n v="4"/>
    <n v="30000"/>
    <n v="0"/>
    <n v="120000"/>
    <x v="9"/>
  </r>
  <r>
    <n v="1199"/>
    <s v="07-03-2024"/>
    <x v="15"/>
    <x v="3"/>
    <x v="2"/>
    <x v="1"/>
    <n v="1"/>
    <n v="1500"/>
    <n v="0.1"/>
    <n v="1350"/>
    <x v="8"/>
  </r>
  <r>
    <n v="1200"/>
    <s v="06-12-2024"/>
    <x v="1"/>
    <x v="1"/>
    <x v="0"/>
    <x v="0"/>
    <n v="4"/>
    <n v="20000"/>
    <n v="0.1"/>
    <n v="72000"/>
    <x v="7"/>
  </r>
  <r>
    <n v="1201"/>
    <s v="29-06-2024"/>
    <x v="5"/>
    <x v="2"/>
    <x v="5"/>
    <x v="2"/>
    <n v="5"/>
    <n v="7000"/>
    <n v="0.1"/>
    <n v="31500"/>
    <x v="11"/>
  </r>
  <r>
    <n v="1202"/>
    <s v="25-02-2024"/>
    <x v="7"/>
    <x v="3"/>
    <x v="3"/>
    <x v="0"/>
    <n v="4"/>
    <n v="30000"/>
    <n v="0.05"/>
    <n v="114000"/>
    <x v="9"/>
  </r>
  <r>
    <n v="1203"/>
    <s v="07-08-2024"/>
    <x v="2"/>
    <x v="6"/>
    <x v="0"/>
    <x v="0"/>
    <n v="3"/>
    <n v="20000"/>
    <n v="0.05"/>
    <n v="57000"/>
    <x v="6"/>
  </r>
  <r>
    <n v="1204"/>
    <s v="25-12-2024"/>
    <x v="13"/>
    <x v="3"/>
    <x v="1"/>
    <x v="0"/>
    <n v="2"/>
    <n v="50000"/>
    <n v="0.1"/>
    <n v="90000"/>
    <x v="7"/>
  </r>
  <r>
    <n v="1205"/>
    <s v="14-03-2024"/>
    <x v="11"/>
    <x v="4"/>
    <x v="4"/>
    <x v="1"/>
    <n v="1"/>
    <n v="2000"/>
    <n v="0.05"/>
    <n v="1900"/>
    <x v="8"/>
  </r>
  <r>
    <n v="1206"/>
    <s v="28-09-2024"/>
    <x v="14"/>
    <x v="5"/>
    <x v="3"/>
    <x v="0"/>
    <n v="1"/>
    <n v="30000"/>
    <n v="0"/>
    <n v="30000"/>
    <x v="10"/>
  </r>
  <r>
    <n v="1207"/>
    <s v="21-03-2024"/>
    <x v="7"/>
    <x v="6"/>
    <x v="2"/>
    <x v="1"/>
    <n v="4"/>
    <n v="1500"/>
    <n v="0.1"/>
    <n v="5400"/>
    <x v="8"/>
  </r>
  <r>
    <n v="1208"/>
    <s v="27-01-2024"/>
    <x v="4"/>
    <x v="0"/>
    <x v="4"/>
    <x v="1"/>
    <n v="5"/>
    <n v="2000"/>
    <n v="0"/>
    <n v="10000"/>
    <x v="4"/>
  </r>
  <r>
    <n v="1209"/>
    <s v="14-08-2024"/>
    <x v="1"/>
    <x v="7"/>
    <x v="1"/>
    <x v="0"/>
    <n v="1"/>
    <n v="50000"/>
    <n v="0.1"/>
    <n v="45000"/>
    <x v="6"/>
  </r>
  <r>
    <n v="1210"/>
    <s v="20-04-2024"/>
    <x v="5"/>
    <x v="3"/>
    <x v="7"/>
    <x v="0"/>
    <n v="4"/>
    <n v="12000"/>
    <n v="0.1"/>
    <n v="43200"/>
    <x v="2"/>
  </r>
  <r>
    <n v="1211"/>
    <s v="13-12-2024"/>
    <x v="10"/>
    <x v="6"/>
    <x v="2"/>
    <x v="1"/>
    <n v="1"/>
    <n v="1500"/>
    <n v="0.1"/>
    <n v="1350"/>
    <x v="7"/>
  </r>
  <r>
    <n v="1212"/>
    <s v="02-11-2024"/>
    <x v="15"/>
    <x v="1"/>
    <x v="1"/>
    <x v="0"/>
    <n v="2"/>
    <n v="50000"/>
    <n v="0.15"/>
    <n v="85000"/>
    <x v="5"/>
  </r>
  <r>
    <n v="1213"/>
    <s v="11-03-2024"/>
    <x v="3"/>
    <x v="6"/>
    <x v="6"/>
    <x v="2"/>
    <n v="3"/>
    <n v="3000"/>
    <n v="0.05"/>
    <n v="8550"/>
    <x v="8"/>
  </r>
  <r>
    <n v="1214"/>
    <s v="11-09-2024"/>
    <x v="1"/>
    <x v="0"/>
    <x v="4"/>
    <x v="1"/>
    <n v="1"/>
    <n v="2000"/>
    <n v="0"/>
    <n v="2000"/>
    <x v="10"/>
  </r>
  <r>
    <n v="1215"/>
    <s v="13-09-2024"/>
    <x v="7"/>
    <x v="4"/>
    <x v="3"/>
    <x v="0"/>
    <n v="4"/>
    <n v="30000"/>
    <n v="0.05"/>
    <n v="114000"/>
    <x v="10"/>
  </r>
  <r>
    <n v="1216"/>
    <s v="10-01-2024"/>
    <x v="6"/>
    <x v="4"/>
    <x v="2"/>
    <x v="1"/>
    <n v="1"/>
    <n v="1500"/>
    <n v="0.15"/>
    <n v="1275"/>
    <x v="4"/>
  </r>
  <r>
    <n v="1217"/>
    <s v="20-10-2024"/>
    <x v="11"/>
    <x v="5"/>
    <x v="4"/>
    <x v="1"/>
    <n v="5"/>
    <n v="2000"/>
    <n v="0.15"/>
    <n v="8500"/>
    <x v="1"/>
  </r>
  <r>
    <n v="1218"/>
    <s v="11-01-2024"/>
    <x v="9"/>
    <x v="0"/>
    <x v="5"/>
    <x v="2"/>
    <n v="1"/>
    <n v="7000"/>
    <n v="0.15"/>
    <n v="5950"/>
    <x v="4"/>
  </r>
  <r>
    <n v="1219"/>
    <s v="11-08-2024"/>
    <x v="5"/>
    <x v="2"/>
    <x v="7"/>
    <x v="0"/>
    <n v="3"/>
    <n v="12000"/>
    <n v="0"/>
    <n v="36000"/>
    <x v="6"/>
  </r>
  <r>
    <n v="1220"/>
    <s v="25-09-2024"/>
    <x v="8"/>
    <x v="5"/>
    <x v="2"/>
    <x v="1"/>
    <n v="5"/>
    <n v="1500"/>
    <n v="0.15"/>
    <n v="6375"/>
    <x v="10"/>
  </r>
  <r>
    <n v="1221"/>
    <s v="19-06-2024"/>
    <x v="12"/>
    <x v="4"/>
    <x v="5"/>
    <x v="2"/>
    <n v="3"/>
    <n v="7000"/>
    <n v="0.05"/>
    <n v="19950"/>
    <x v="11"/>
  </r>
  <r>
    <n v="1222"/>
    <s v="27-06-2024"/>
    <x v="7"/>
    <x v="0"/>
    <x v="0"/>
    <x v="0"/>
    <n v="5"/>
    <n v="20000"/>
    <n v="0.05"/>
    <n v="95000"/>
    <x v="11"/>
  </r>
  <r>
    <n v="1223"/>
    <s v="11-05-2024"/>
    <x v="14"/>
    <x v="0"/>
    <x v="6"/>
    <x v="2"/>
    <n v="1"/>
    <n v="3000"/>
    <n v="0.05"/>
    <n v="2850"/>
    <x v="0"/>
  </r>
  <r>
    <n v="1224"/>
    <s v="17-11-2024"/>
    <x v="10"/>
    <x v="7"/>
    <x v="3"/>
    <x v="0"/>
    <n v="1"/>
    <n v="30000"/>
    <n v="0.05"/>
    <n v="28500"/>
    <x v="5"/>
  </r>
  <r>
    <n v="1225"/>
    <s v="17-11-2024"/>
    <x v="9"/>
    <x v="0"/>
    <x v="7"/>
    <x v="0"/>
    <n v="5"/>
    <n v="12000"/>
    <n v="0.1"/>
    <n v="54000"/>
    <x v="5"/>
  </r>
  <r>
    <n v="1226"/>
    <s v="14-08-2024"/>
    <x v="13"/>
    <x v="6"/>
    <x v="7"/>
    <x v="0"/>
    <n v="1"/>
    <n v="12000"/>
    <n v="0.15"/>
    <n v="10200"/>
    <x v="6"/>
  </r>
  <r>
    <n v="1227"/>
    <s v="07-06-2024"/>
    <x v="6"/>
    <x v="7"/>
    <x v="1"/>
    <x v="0"/>
    <n v="3"/>
    <n v="50000"/>
    <n v="0"/>
    <n v="150000"/>
    <x v="11"/>
  </r>
  <r>
    <n v="1228"/>
    <s v="26-05-2024"/>
    <x v="8"/>
    <x v="4"/>
    <x v="1"/>
    <x v="0"/>
    <n v="1"/>
    <n v="50000"/>
    <n v="0.1"/>
    <n v="45000"/>
    <x v="0"/>
  </r>
  <r>
    <n v="1229"/>
    <s v="18-08-2024"/>
    <x v="14"/>
    <x v="3"/>
    <x v="2"/>
    <x v="1"/>
    <n v="4"/>
    <n v="1500"/>
    <n v="0"/>
    <n v="6000"/>
    <x v="6"/>
  </r>
  <r>
    <n v="1230"/>
    <s v="01-02-2024"/>
    <x v="6"/>
    <x v="4"/>
    <x v="7"/>
    <x v="0"/>
    <n v="5"/>
    <n v="12000"/>
    <n v="0.05"/>
    <n v="57000"/>
    <x v="9"/>
  </r>
  <r>
    <n v="1231"/>
    <s v="21-01-2024"/>
    <x v="0"/>
    <x v="7"/>
    <x v="4"/>
    <x v="1"/>
    <n v="1"/>
    <n v="2000"/>
    <n v="0.05"/>
    <n v="1900"/>
    <x v="4"/>
  </r>
  <r>
    <n v="1232"/>
    <s v="05-07-2024"/>
    <x v="7"/>
    <x v="6"/>
    <x v="7"/>
    <x v="0"/>
    <n v="5"/>
    <n v="12000"/>
    <n v="0.05"/>
    <n v="57000"/>
    <x v="3"/>
  </r>
  <r>
    <n v="1233"/>
    <s v="13-12-2024"/>
    <x v="15"/>
    <x v="3"/>
    <x v="2"/>
    <x v="1"/>
    <n v="4"/>
    <n v="1500"/>
    <n v="0.1"/>
    <n v="5400"/>
    <x v="7"/>
  </r>
  <r>
    <n v="1234"/>
    <s v="12-10-2024"/>
    <x v="11"/>
    <x v="6"/>
    <x v="0"/>
    <x v="0"/>
    <n v="3"/>
    <n v="20000"/>
    <n v="0"/>
    <n v="60000"/>
    <x v="1"/>
  </r>
  <r>
    <n v="1235"/>
    <s v="19-06-2024"/>
    <x v="8"/>
    <x v="0"/>
    <x v="5"/>
    <x v="2"/>
    <n v="5"/>
    <n v="7000"/>
    <n v="0.05"/>
    <n v="33250"/>
    <x v="11"/>
  </r>
  <r>
    <n v="1236"/>
    <s v="07-03-2024"/>
    <x v="8"/>
    <x v="6"/>
    <x v="4"/>
    <x v="1"/>
    <n v="3"/>
    <n v="2000"/>
    <n v="0.15"/>
    <n v="5100"/>
    <x v="8"/>
  </r>
  <r>
    <n v="1237"/>
    <s v="09-12-2024"/>
    <x v="8"/>
    <x v="5"/>
    <x v="2"/>
    <x v="1"/>
    <n v="3"/>
    <n v="1500"/>
    <n v="0.05"/>
    <n v="4275"/>
    <x v="7"/>
  </r>
  <r>
    <n v="1238"/>
    <s v="07-06-2024"/>
    <x v="12"/>
    <x v="2"/>
    <x v="4"/>
    <x v="1"/>
    <n v="1"/>
    <n v="2000"/>
    <n v="0.1"/>
    <n v="1800"/>
    <x v="11"/>
  </r>
  <r>
    <n v="1239"/>
    <s v="25-04-2024"/>
    <x v="4"/>
    <x v="0"/>
    <x v="4"/>
    <x v="1"/>
    <n v="4"/>
    <n v="2000"/>
    <n v="0.05"/>
    <n v="7600"/>
    <x v="2"/>
  </r>
  <r>
    <n v="1240"/>
    <s v="16-09-2024"/>
    <x v="15"/>
    <x v="3"/>
    <x v="0"/>
    <x v="0"/>
    <n v="3"/>
    <n v="20000"/>
    <n v="0"/>
    <n v="60000"/>
    <x v="10"/>
  </r>
  <r>
    <n v="1241"/>
    <s v="19-03-2024"/>
    <x v="12"/>
    <x v="0"/>
    <x v="3"/>
    <x v="0"/>
    <n v="5"/>
    <n v="30000"/>
    <n v="0.15"/>
    <n v="127500"/>
    <x v="8"/>
  </r>
  <r>
    <n v="1242"/>
    <s v="29-07-2024"/>
    <x v="7"/>
    <x v="2"/>
    <x v="3"/>
    <x v="0"/>
    <n v="4"/>
    <n v="30000"/>
    <n v="0"/>
    <n v="120000"/>
    <x v="3"/>
  </r>
  <r>
    <n v="1243"/>
    <s v="17-08-2024"/>
    <x v="0"/>
    <x v="2"/>
    <x v="7"/>
    <x v="0"/>
    <n v="5"/>
    <n v="12000"/>
    <n v="0.1"/>
    <n v="54000"/>
    <x v="6"/>
  </r>
  <r>
    <n v="1244"/>
    <s v="07-07-2024"/>
    <x v="6"/>
    <x v="7"/>
    <x v="5"/>
    <x v="2"/>
    <n v="4"/>
    <n v="7000"/>
    <n v="0.05"/>
    <n v="26600"/>
    <x v="3"/>
  </r>
  <r>
    <n v="1245"/>
    <s v="23-03-2024"/>
    <x v="14"/>
    <x v="0"/>
    <x v="5"/>
    <x v="2"/>
    <n v="4"/>
    <n v="7000"/>
    <n v="0.15"/>
    <n v="23800"/>
    <x v="8"/>
  </r>
  <r>
    <n v="1246"/>
    <s v="09-07-2024"/>
    <x v="5"/>
    <x v="4"/>
    <x v="5"/>
    <x v="2"/>
    <n v="1"/>
    <n v="7000"/>
    <n v="0.15"/>
    <n v="5950"/>
    <x v="3"/>
  </r>
  <r>
    <n v="1247"/>
    <s v="19-05-2024"/>
    <x v="6"/>
    <x v="0"/>
    <x v="5"/>
    <x v="2"/>
    <n v="1"/>
    <n v="7000"/>
    <n v="0.05"/>
    <n v="6650"/>
    <x v="0"/>
  </r>
  <r>
    <n v="1248"/>
    <s v="18-08-2024"/>
    <x v="7"/>
    <x v="1"/>
    <x v="2"/>
    <x v="1"/>
    <n v="1"/>
    <n v="1500"/>
    <n v="0.05"/>
    <n v="1425"/>
    <x v="6"/>
  </r>
  <r>
    <n v="1249"/>
    <s v="14-09-2024"/>
    <x v="7"/>
    <x v="2"/>
    <x v="2"/>
    <x v="1"/>
    <n v="1"/>
    <n v="1500"/>
    <n v="0.15"/>
    <n v="1275"/>
    <x v="10"/>
  </r>
  <r>
    <n v="1250"/>
    <s v="24-04-2024"/>
    <x v="2"/>
    <x v="3"/>
    <x v="2"/>
    <x v="1"/>
    <n v="1"/>
    <n v="1500"/>
    <n v="0.1"/>
    <n v="1350"/>
    <x v="2"/>
  </r>
  <r>
    <n v="1251"/>
    <s v="11-03-2024"/>
    <x v="15"/>
    <x v="6"/>
    <x v="0"/>
    <x v="0"/>
    <n v="3"/>
    <n v="20000"/>
    <n v="0.05"/>
    <n v="57000"/>
    <x v="8"/>
  </r>
  <r>
    <n v="1252"/>
    <s v="17-08-2024"/>
    <x v="2"/>
    <x v="4"/>
    <x v="7"/>
    <x v="0"/>
    <n v="2"/>
    <n v="12000"/>
    <n v="0.15"/>
    <n v="20400"/>
    <x v="6"/>
  </r>
  <r>
    <n v="1253"/>
    <s v="17-03-2024"/>
    <x v="1"/>
    <x v="4"/>
    <x v="1"/>
    <x v="0"/>
    <n v="3"/>
    <n v="50000"/>
    <n v="0.05"/>
    <n v="142500"/>
    <x v="8"/>
  </r>
  <r>
    <n v="1254"/>
    <s v="03-03-2024"/>
    <x v="15"/>
    <x v="2"/>
    <x v="5"/>
    <x v="2"/>
    <n v="2"/>
    <n v="7000"/>
    <n v="0.1"/>
    <n v="12600"/>
    <x v="8"/>
  </r>
  <r>
    <n v="1255"/>
    <s v="02-02-2024"/>
    <x v="5"/>
    <x v="7"/>
    <x v="2"/>
    <x v="1"/>
    <n v="5"/>
    <n v="1500"/>
    <n v="0.15"/>
    <n v="6375"/>
    <x v="9"/>
  </r>
  <r>
    <n v="1256"/>
    <s v="14-03-2024"/>
    <x v="13"/>
    <x v="5"/>
    <x v="1"/>
    <x v="0"/>
    <n v="5"/>
    <n v="50000"/>
    <n v="0.05"/>
    <n v="237500"/>
    <x v="8"/>
  </r>
  <r>
    <n v="1257"/>
    <s v="03-05-2024"/>
    <x v="1"/>
    <x v="0"/>
    <x v="1"/>
    <x v="0"/>
    <n v="5"/>
    <n v="50000"/>
    <n v="0.1"/>
    <n v="225000"/>
    <x v="0"/>
  </r>
  <r>
    <n v="1258"/>
    <s v="04-02-2024"/>
    <x v="2"/>
    <x v="5"/>
    <x v="0"/>
    <x v="0"/>
    <n v="5"/>
    <n v="20000"/>
    <n v="0.1"/>
    <n v="90000"/>
    <x v="9"/>
  </r>
  <r>
    <n v="1259"/>
    <s v="10-07-2024"/>
    <x v="3"/>
    <x v="1"/>
    <x v="7"/>
    <x v="0"/>
    <n v="1"/>
    <n v="12000"/>
    <n v="0.15"/>
    <n v="10200"/>
    <x v="3"/>
  </r>
  <r>
    <n v="1260"/>
    <s v="03-05-2024"/>
    <x v="5"/>
    <x v="3"/>
    <x v="4"/>
    <x v="1"/>
    <n v="1"/>
    <n v="2000"/>
    <n v="0.1"/>
    <n v="1800"/>
    <x v="0"/>
  </r>
  <r>
    <n v="1261"/>
    <s v="06-10-2024"/>
    <x v="9"/>
    <x v="0"/>
    <x v="3"/>
    <x v="0"/>
    <n v="1"/>
    <n v="30000"/>
    <n v="0.1"/>
    <n v="27000"/>
    <x v="1"/>
  </r>
  <r>
    <n v="1262"/>
    <s v="10-03-2024"/>
    <x v="8"/>
    <x v="7"/>
    <x v="7"/>
    <x v="0"/>
    <n v="4"/>
    <n v="12000"/>
    <n v="0.05"/>
    <n v="45600"/>
    <x v="8"/>
  </r>
  <r>
    <n v="1263"/>
    <s v="23-01-2024"/>
    <x v="14"/>
    <x v="1"/>
    <x v="1"/>
    <x v="0"/>
    <n v="3"/>
    <n v="50000"/>
    <n v="0.05"/>
    <n v="142500"/>
    <x v="4"/>
  </r>
  <r>
    <n v="1264"/>
    <s v="05-10-2024"/>
    <x v="10"/>
    <x v="6"/>
    <x v="4"/>
    <x v="1"/>
    <n v="3"/>
    <n v="2000"/>
    <n v="0.15"/>
    <n v="5100"/>
    <x v="1"/>
  </r>
  <r>
    <n v="1265"/>
    <s v="01-07-2024"/>
    <x v="15"/>
    <x v="3"/>
    <x v="1"/>
    <x v="0"/>
    <n v="2"/>
    <n v="50000"/>
    <n v="0.1"/>
    <n v="90000"/>
    <x v="3"/>
  </r>
  <r>
    <n v="1266"/>
    <s v="11-08-2024"/>
    <x v="11"/>
    <x v="7"/>
    <x v="5"/>
    <x v="2"/>
    <n v="1"/>
    <n v="7000"/>
    <n v="0.1"/>
    <n v="6300"/>
    <x v="6"/>
  </r>
  <r>
    <n v="1267"/>
    <s v="11-09-2024"/>
    <x v="10"/>
    <x v="3"/>
    <x v="2"/>
    <x v="1"/>
    <n v="3"/>
    <n v="1500"/>
    <n v="0.05"/>
    <n v="4275"/>
    <x v="10"/>
  </r>
  <r>
    <n v="1268"/>
    <s v="10-02-2024"/>
    <x v="1"/>
    <x v="0"/>
    <x v="5"/>
    <x v="2"/>
    <n v="1"/>
    <n v="7000"/>
    <n v="0.15"/>
    <n v="5950"/>
    <x v="9"/>
  </r>
  <r>
    <n v="1269"/>
    <s v="10-02-2024"/>
    <x v="9"/>
    <x v="6"/>
    <x v="5"/>
    <x v="2"/>
    <n v="3"/>
    <n v="7000"/>
    <n v="0"/>
    <n v="21000"/>
    <x v="9"/>
  </r>
  <r>
    <n v="1270"/>
    <s v="26-03-2024"/>
    <x v="6"/>
    <x v="3"/>
    <x v="5"/>
    <x v="2"/>
    <n v="4"/>
    <n v="7000"/>
    <n v="0.15"/>
    <n v="23800"/>
    <x v="8"/>
  </r>
  <r>
    <n v="1271"/>
    <s v="10-11-2024"/>
    <x v="1"/>
    <x v="6"/>
    <x v="7"/>
    <x v="0"/>
    <n v="1"/>
    <n v="12000"/>
    <n v="0.1"/>
    <n v="10800"/>
    <x v="5"/>
  </r>
  <r>
    <n v="1272"/>
    <s v="05-07-2024"/>
    <x v="12"/>
    <x v="1"/>
    <x v="1"/>
    <x v="0"/>
    <n v="1"/>
    <n v="50000"/>
    <n v="0.15"/>
    <n v="42500"/>
    <x v="3"/>
  </r>
  <r>
    <n v="1273"/>
    <s v="18-01-2024"/>
    <x v="4"/>
    <x v="4"/>
    <x v="3"/>
    <x v="0"/>
    <n v="5"/>
    <n v="30000"/>
    <n v="0.15"/>
    <n v="127500"/>
    <x v="4"/>
  </r>
  <r>
    <n v="1274"/>
    <s v="15-07-2024"/>
    <x v="15"/>
    <x v="0"/>
    <x v="6"/>
    <x v="2"/>
    <n v="3"/>
    <n v="3000"/>
    <n v="0.1"/>
    <n v="8100"/>
    <x v="3"/>
  </r>
  <r>
    <n v="1275"/>
    <s v="15-08-2024"/>
    <x v="8"/>
    <x v="0"/>
    <x v="7"/>
    <x v="0"/>
    <n v="3"/>
    <n v="12000"/>
    <n v="0.1"/>
    <n v="32400"/>
    <x v="6"/>
  </r>
  <r>
    <n v="1276"/>
    <s v="28-11-2024"/>
    <x v="3"/>
    <x v="2"/>
    <x v="4"/>
    <x v="1"/>
    <n v="4"/>
    <n v="2000"/>
    <n v="0.1"/>
    <n v="7200"/>
    <x v="5"/>
  </r>
  <r>
    <n v="1277"/>
    <s v="12-09-2024"/>
    <x v="11"/>
    <x v="4"/>
    <x v="0"/>
    <x v="0"/>
    <n v="1"/>
    <n v="20000"/>
    <n v="0.05"/>
    <n v="19000"/>
    <x v="10"/>
  </r>
  <r>
    <n v="1278"/>
    <s v="19-04-2024"/>
    <x v="13"/>
    <x v="7"/>
    <x v="5"/>
    <x v="2"/>
    <n v="3"/>
    <n v="7000"/>
    <n v="0.15"/>
    <n v="17850"/>
    <x v="2"/>
  </r>
  <r>
    <n v="1279"/>
    <s v="07-02-2024"/>
    <x v="6"/>
    <x v="0"/>
    <x v="6"/>
    <x v="2"/>
    <n v="1"/>
    <n v="3000"/>
    <n v="0.05"/>
    <n v="2850"/>
    <x v="9"/>
  </r>
  <r>
    <n v="1280"/>
    <s v="07-12-2024"/>
    <x v="7"/>
    <x v="4"/>
    <x v="7"/>
    <x v="0"/>
    <n v="1"/>
    <n v="12000"/>
    <n v="0.1"/>
    <n v="10800"/>
    <x v="7"/>
  </r>
  <r>
    <n v="1281"/>
    <s v="30-12-2024"/>
    <x v="12"/>
    <x v="3"/>
    <x v="5"/>
    <x v="2"/>
    <n v="3"/>
    <n v="7000"/>
    <n v="0.05"/>
    <n v="19950"/>
    <x v="7"/>
  </r>
  <r>
    <n v="1282"/>
    <s v="12-03-2024"/>
    <x v="0"/>
    <x v="7"/>
    <x v="6"/>
    <x v="2"/>
    <n v="1"/>
    <n v="3000"/>
    <n v="0.05"/>
    <n v="2850"/>
    <x v="8"/>
  </r>
  <r>
    <n v="1283"/>
    <s v="27-08-2024"/>
    <x v="4"/>
    <x v="4"/>
    <x v="1"/>
    <x v="0"/>
    <n v="3"/>
    <n v="50000"/>
    <n v="0.1"/>
    <n v="135000"/>
    <x v="6"/>
  </r>
  <r>
    <n v="1284"/>
    <s v="02-09-2024"/>
    <x v="1"/>
    <x v="5"/>
    <x v="0"/>
    <x v="0"/>
    <n v="3"/>
    <n v="20000"/>
    <n v="0.15"/>
    <n v="51000"/>
    <x v="10"/>
  </r>
  <r>
    <n v="1285"/>
    <s v="24-11-2024"/>
    <x v="8"/>
    <x v="7"/>
    <x v="0"/>
    <x v="0"/>
    <n v="2"/>
    <n v="20000"/>
    <n v="0.1"/>
    <n v="36000"/>
    <x v="5"/>
  </r>
  <r>
    <n v="1286"/>
    <s v="06-03-2024"/>
    <x v="12"/>
    <x v="0"/>
    <x v="7"/>
    <x v="0"/>
    <n v="5"/>
    <n v="12000"/>
    <n v="0.1"/>
    <n v="54000"/>
    <x v="8"/>
  </r>
  <r>
    <n v="1287"/>
    <s v="04-03-2024"/>
    <x v="4"/>
    <x v="6"/>
    <x v="2"/>
    <x v="1"/>
    <n v="5"/>
    <n v="1500"/>
    <n v="0"/>
    <n v="7500"/>
    <x v="8"/>
  </r>
  <r>
    <n v="1288"/>
    <s v="29-12-2024"/>
    <x v="0"/>
    <x v="3"/>
    <x v="3"/>
    <x v="0"/>
    <n v="2"/>
    <n v="30000"/>
    <n v="0.1"/>
    <n v="54000"/>
    <x v="7"/>
  </r>
  <r>
    <n v="1289"/>
    <s v="10-04-2024"/>
    <x v="3"/>
    <x v="0"/>
    <x v="5"/>
    <x v="2"/>
    <n v="1"/>
    <n v="7000"/>
    <n v="0.1"/>
    <n v="6300"/>
    <x v="2"/>
  </r>
  <r>
    <n v="1290"/>
    <s v="14-09-2024"/>
    <x v="12"/>
    <x v="0"/>
    <x v="5"/>
    <x v="2"/>
    <n v="5"/>
    <n v="7000"/>
    <n v="0"/>
    <n v="35000"/>
    <x v="10"/>
  </r>
  <r>
    <n v="1291"/>
    <s v="15-10-2024"/>
    <x v="15"/>
    <x v="1"/>
    <x v="3"/>
    <x v="0"/>
    <n v="5"/>
    <n v="30000"/>
    <n v="0.1"/>
    <n v="135000"/>
    <x v="1"/>
  </r>
  <r>
    <n v="1292"/>
    <s v="29-11-2024"/>
    <x v="14"/>
    <x v="5"/>
    <x v="0"/>
    <x v="0"/>
    <n v="1"/>
    <n v="20000"/>
    <n v="0.1"/>
    <n v="18000"/>
    <x v="5"/>
  </r>
  <r>
    <n v="1293"/>
    <s v="24-11-2024"/>
    <x v="13"/>
    <x v="7"/>
    <x v="1"/>
    <x v="0"/>
    <n v="4"/>
    <n v="50000"/>
    <n v="0.1"/>
    <n v="180000"/>
    <x v="5"/>
  </r>
  <r>
    <n v="1294"/>
    <s v="20-08-2024"/>
    <x v="8"/>
    <x v="1"/>
    <x v="6"/>
    <x v="2"/>
    <n v="4"/>
    <n v="3000"/>
    <n v="0.1"/>
    <n v="10800"/>
    <x v="6"/>
  </r>
  <r>
    <n v="1295"/>
    <s v="04-09-2024"/>
    <x v="6"/>
    <x v="2"/>
    <x v="3"/>
    <x v="0"/>
    <n v="4"/>
    <n v="30000"/>
    <n v="0.15"/>
    <n v="102000"/>
    <x v="10"/>
  </r>
  <r>
    <n v="1296"/>
    <s v="09-06-2024"/>
    <x v="9"/>
    <x v="3"/>
    <x v="4"/>
    <x v="1"/>
    <n v="5"/>
    <n v="2000"/>
    <n v="0.05"/>
    <n v="9500"/>
    <x v="11"/>
  </r>
  <r>
    <n v="1297"/>
    <s v="20-09-2024"/>
    <x v="5"/>
    <x v="3"/>
    <x v="2"/>
    <x v="1"/>
    <n v="2"/>
    <n v="1500"/>
    <n v="0.1"/>
    <n v="2700"/>
    <x v="10"/>
  </r>
  <r>
    <n v="1298"/>
    <s v="16-05-2024"/>
    <x v="6"/>
    <x v="2"/>
    <x v="6"/>
    <x v="2"/>
    <n v="4"/>
    <n v="3000"/>
    <n v="0"/>
    <n v="12000"/>
    <x v="0"/>
  </r>
  <r>
    <n v="1299"/>
    <s v="28-05-2024"/>
    <x v="11"/>
    <x v="5"/>
    <x v="3"/>
    <x v="0"/>
    <n v="1"/>
    <n v="30000"/>
    <n v="0"/>
    <n v="30000"/>
    <x v="0"/>
  </r>
  <r>
    <n v="1300"/>
    <s v="22-10-2024"/>
    <x v="9"/>
    <x v="2"/>
    <x v="6"/>
    <x v="2"/>
    <n v="2"/>
    <n v="3000"/>
    <n v="0.1"/>
    <n v="5400"/>
    <x v="1"/>
  </r>
  <r>
    <n v="1301"/>
    <s v="12-09-2024"/>
    <x v="13"/>
    <x v="7"/>
    <x v="3"/>
    <x v="0"/>
    <n v="4"/>
    <n v="30000"/>
    <n v="0.15"/>
    <n v="102000"/>
    <x v="10"/>
  </r>
  <r>
    <n v="1302"/>
    <s v="15-09-2024"/>
    <x v="6"/>
    <x v="2"/>
    <x v="1"/>
    <x v="0"/>
    <n v="1"/>
    <n v="50000"/>
    <n v="0.15"/>
    <n v="42500"/>
    <x v="10"/>
  </r>
  <r>
    <n v="1303"/>
    <s v="25-01-2024"/>
    <x v="15"/>
    <x v="6"/>
    <x v="6"/>
    <x v="2"/>
    <n v="5"/>
    <n v="3000"/>
    <n v="0.1"/>
    <n v="13500"/>
    <x v="4"/>
  </r>
  <r>
    <n v="1304"/>
    <s v="26-05-2024"/>
    <x v="2"/>
    <x v="4"/>
    <x v="7"/>
    <x v="0"/>
    <n v="5"/>
    <n v="12000"/>
    <n v="0.15"/>
    <n v="51000"/>
    <x v="0"/>
  </r>
  <r>
    <n v="1305"/>
    <s v="06-07-2024"/>
    <x v="11"/>
    <x v="3"/>
    <x v="2"/>
    <x v="1"/>
    <n v="2"/>
    <n v="1500"/>
    <n v="0.1"/>
    <n v="2700"/>
    <x v="3"/>
  </r>
  <r>
    <n v="1306"/>
    <s v="18-10-2024"/>
    <x v="14"/>
    <x v="3"/>
    <x v="1"/>
    <x v="0"/>
    <n v="4"/>
    <n v="50000"/>
    <n v="0"/>
    <n v="200000"/>
    <x v="1"/>
  </r>
  <r>
    <n v="1307"/>
    <s v="15-09-2024"/>
    <x v="6"/>
    <x v="6"/>
    <x v="5"/>
    <x v="2"/>
    <n v="1"/>
    <n v="7000"/>
    <n v="0.15"/>
    <n v="5950"/>
    <x v="10"/>
  </r>
  <r>
    <n v="1308"/>
    <s v="20-07-2024"/>
    <x v="7"/>
    <x v="3"/>
    <x v="0"/>
    <x v="0"/>
    <n v="2"/>
    <n v="20000"/>
    <n v="0"/>
    <n v="40000"/>
    <x v="3"/>
  </r>
  <r>
    <n v="1309"/>
    <s v="04-11-2024"/>
    <x v="11"/>
    <x v="1"/>
    <x v="4"/>
    <x v="1"/>
    <n v="2"/>
    <n v="2000"/>
    <n v="0.05"/>
    <n v="3800"/>
    <x v="5"/>
  </r>
  <r>
    <n v="1310"/>
    <s v="19-06-2024"/>
    <x v="10"/>
    <x v="7"/>
    <x v="1"/>
    <x v="0"/>
    <n v="1"/>
    <n v="50000"/>
    <n v="0.05"/>
    <n v="47500"/>
    <x v="11"/>
  </r>
  <r>
    <n v="1311"/>
    <s v="16-06-2024"/>
    <x v="9"/>
    <x v="0"/>
    <x v="3"/>
    <x v="0"/>
    <n v="5"/>
    <n v="30000"/>
    <n v="0.05"/>
    <n v="142500"/>
    <x v="11"/>
  </r>
  <r>
    <n v="1312"/>
    <s v="30-10-2024"/>
    <x v="9"/>
    <x v="7"/>
    <x v="2"/>
    <x v="1"/>
    <n v="5"/>
    <n v="1500"/>
    <n v="0.1"/>
    <n v="6750"/>
    <x v="1"/>
  </r>
  <r>
    <n v="1313"/>
    <s v="07-07-2024"/>
    <x v="9"/>
    <x v="4"/>
    <x v="5"/>
    <x v="2"/>
    <n v="4"/>
    <n v="7000"/>
    <n v="0"/>
    <n v="28000"/>
    <x v="3"/>
  </r>
  <r>
    <n v="1314"/>
    <s v="18-12-2024"/>
    <x v="2"/>
    <x v="7"/>
    <x v="2"/>
    <x v="1"/>
    <n v="5"/>
    <n v="1500"/>
    <n v="0.1"/>
    <n v="6750"/>
    <x v="7"/>
  </r>
  <r>
    <n v="1315"/>
    <s v="27-01-2024"/>
    <x v="10"/>
    <x v="0"/>
    <x v="5"/>
    <x v="2"/>
    <n v="5"/>
    <n v="7000"/>
    <n v="0.05"/>
    <n v="33250"/>
    <x v="4"/>
  </r>
  <r>
    <n v="1316"/>
    <s v="17-01-2024"/>
    <x v="5"/>
    <x v="2"/>
    <x v="2"/>
    <x v="1"/>
    <n v="2"/>
    <n v="1500"/>
    <n v="0.05"/>
    <n v="2850"/>
    <x v="4"/>
  </r>
  <r>
    <n v="1317"/>
    <s v="02-08-2024"/>
    <x v="4"/>
    <x v="5"/>
    <x v="1"/>
    <x v="0"/>
    <n v="4"/>
    <n v="50000"/>
    <n v="0.1"/>
    <n v="180000"/>
    <x v="6"/>
  </r>
  <r>
    <n v="1318"/>
    <s v="01-02-2024"/>
    <x v="4"/>
    <x v="2"/>
    <x v="6"/>
    <x v="2"/>
    <n v="4"/>
    <n v="3000"/>
    <n v="0.15"/>
    <n v="10200"/>
    <x v="9"/>
  </r>
  <r>
    <n v="1319"/>
    <s v="09-06-2024"/>
    <x v="12"/>
    <x v="7"/>
    <x v="4"/>
    <x v="1"/>
    <n v="4"/>
    <n v="2000"/>
    <n v="0.15"/>
    <n v="6800"/>
    <x v="11"/>
  </r>
  <r>
    <n v="1320"/>
    <s v="12-12-2024"/>
    <x v="3"/>
    <x v="7"/>
    <x v="4"/>
    <x v="1"/>
    <n v="5"/>
    <n v="2000"/>
    <n v="0.1"/>
    <n v="9000"/>
    <x v="7"/>
  </r>
  <r>
    <n v="1321"/>
    <s v="12-10-2024"/>
    <x v="13"/>
    <x v="2"/>
    <x v="6"/>
    <x v="2"/>
    <n v="2"/>
    <n v="3000"/>
    <n v="0.1"/>
    <n v="5400"/>
    <x v="1"/>
  </r>
  <r>
    <n v="1322"/>
    <s v="19-12-2024"/>
    <x v="10"/>
    <x v="3"/>
    <x v="5"/>
    <x v="2"/>
    <n v="3"/>
    <n v="7000"/>
    <n v="0.05"/>
    <n v="19950"/>
    <x v="7"/>
  </r>
  <r>
    <n v="1323"/>
    <s v="27-05-2024"/>
    <x v="5"/>
    <x v="5"/>
    <x v="7"/>
    <x v="0"/>
    <n v="3"/>
    <n v="12000"/>
    <n v="0.1"/>
    <n v="32400"/>
    <x v="0"/>
  </r>
  <r>
    <n v="1324"/>
    <s v="28-05-2024"/>
    <x v="15"/>
    <x v="6"/>
    <x v="2"/>
    <x v="1"/>
    <n v="3"/>
    <n v="1500"/>
    <n v="0.05"/>
    <n v="4275"/>
    <x v="0"/>
  </r>
  <r>
    <n v="1325"/>
    <s v="01-12-2024"/>
    <x v="3"/>
    <x v="7"/>
    <x v="0"/>
    <x v="0"/>
    <n v="3"/>
    <n v="20000"/>
    <n v="0.15"/>
    <n v="51000"/>
    <x v="7"/>
  </r>
  <r>
    <n v="1326"/>
    <s v="14-10-2024"/>
    <x v="3"/>
    <x v="0"/>
    <x v="6"/>
    <x v="2"/>
    <n v="2"/>
    <n v="3000"/>
    <n v="0.1"/>
    <n v="5400"/>
    <x v="1"/>
  </r>
  <r>
    <n v="1327"/>
    <s v="04-05-2024"/>
    <x v="15"/>
    <x v="2"/>
    <x v="0"/>
    <x v="0"/>
    <n v="5"/>
    <n v="20000"/>
    <n v="0.05"/>
    <n v="95000"/>
    <x v="0"/>
  </r>
  <r>
    <n v="1328"/>
    <s v="30-07-2024"/>
    <x v="9"/>
    <x v="7"/>
    <x v="6"/>
    <x v="2"/>
    <n v="1"/>
    <n v="3000"/>
    <n v="0"/>
    <n v="3000"/>
    <x v="3"/>
  </r>
  <r>
    <n v="1329"/>
    <s v="08-10-2024"/>
    <x v="12"/>
    <x v="5"/>
    <x v="0"/>
    <x v="0"/>
    <n v="2"/>
    <n v="20000"/>
    <n v="0"/>
    <n v="40000"/>
    <x v="1"/>
  </r>
  <r>
    <n v="1330"/>
    <s v="27-05-2024"/>
    <x v="9"/>
    <x v="6"/>
    <x v="7"/>
    <x v="0"/>
    <n v="4"/>
    <n v="12000"/>
    <n v="0.05"/>
    <n v="45600"/>
    <x v="0"/>
  </r>
  <r>
    <n v="1331"/>
    <s v="30-09-2024"/>
    <x v="15"/>
    <x v="0"/>
    <x v="1"/>
    <x v="0"/>
    <n v="1"/>
    <n v="50000"/>
    <n v="0.05"/>
    <n v="47500"/>
    <x v="10"/>
  </r>
  <r>
    <n v="1332"/>
    <s v="22-07-2024"/>
    <x v="10"/>
    <x v="0"/>
    <x v="2"/>
    <x v="1"/>
    <n v="2"/>
    <n v="1500"/>
    <n v="0"/>
    <n v="3000"/>
    <x v="3"/>
  </r>
  <r>
    <n v="1333"/>
    <s v="01-06-2024"/>
    <x v="5"/>
    <x v="3"/>
    <x v="5"/>
    <x v="2"/>
    <n v="1"/>
    <n v="7000"/>
    <n v="0"/>
    <n v="7000"/>
    <x v="11"/>
  </r>
  <r>
    <n v="1334"/>
    <s v="09-03-2024"/>
    <x v="6"/>
    <x v="6"/>
    <x v="5"/>
    <x v="2"/>
    <n v="4"/>
    <n v="7000"/>
    <n v="0.15"/>
    <n v="23800"/>
    <x v="8"/>
  </r>
  <r>
    <n v="1335"/>
    <s v="24-03-2024"/>
    <x v="6"/>
    <x v="6"/>
    <x v="6"/>
    <x v="2"/>
    <n v="1"/>
    <n v="3000"/>
    <n v="0.1"/>
    <n v="2700"/>
    <x v="8"/>
  </r>
  <r>
    <n v="1336"/>
    <s v="31-05-2024"/>
    <x v="14"/>
    <x v="0"/>
    <x v="3"/>
    <x v="0"/>
    <n v="1"/>
    <n v="30000"/>
    <n v="0.1"/>
    <n v="27000"/>
    <x v="0"/>
  </r>
  <r>
    <n v="1337"/>
    <s v="14-02-2024"/>
    <x v="11"/>
    <x v="4"/>
    <x v="2"/>
    <x v="1"/>
    <n v="4"/>
    <n v="1500"/>
    <n v="0.1"/>
    <n v="5400"/>
    <x v="9"/>
  </r>
  <r>
    <n v="1338"/>
    <s v="14-06-2024"/>
    <x v="0"/>
    <x v="1"/>
    <x v="3"/>
    <x v="0"/>
    <n v="2"/>
    <n v="30000"/>
    <n v="0.15"/>
    <n v="51000"/>
    <x v="11"/>
  </r>
  <r>
    <n v="1339"/>
    <s v="16-08-2024"/>
    <x v="3"/>
    <x v="3"/>
    <x v="5"/>
    <x v="2"/>
    <n v="4"/>
    <n v="7000"/>
    <n v="0.05"/>
    <n v="26600"/>
    <x v="6"/>
  </r>
  <r>
    <n v="1340"/>
    <s v="13-05-2024"/>
    <x v="7"/>
    <x v="2"/>
    <x v="5"/>
    <x v="2"/>
    <n v="5"/>
    <n v="7000"/>
    <n v="0"/>
    <n v="35000"/>
    <x v="0"/>
  </r>
  <r>
    <n v="1341"/>
    <s v="06-06-2024"/>
    <x v="12"/>
    <x v="5"/>
    <x v="1"/>
    <x v="0"/>
    <n v="1"/>
    <n v="50000"/>
    <n v="0.15"/>
    <n v="42500"/>
    <x v="11"/>
  </r>
  <r>
    <n v="1342"/>
    <s v="07-07-2024"/>
    <x v="0"/>
    <x v="2"/>
    <x v="5"/>
    <x v="2"/>
    <n v="1"/>
    <n v="7000"/>
    <n v="0.1"/>
    <n v="6300"/>
    <x v="3"/>
  </r>
  <r>
    <n v="1343"/>
    <s v="20-08-2024"/>
    <x v="7"/>
    <x v="5"/>
    <x v="3"/>
    <x v="0"/>
    <n v="4"/>
    <n v="30000"/>
    <n v="0.05"/>
    <n v="114000"/>
    <x v="6"/>
  </r>
  <r>
    <n v="1344"/>
    <s v="06-05-2024"/>
    <x v="8"/>
    <x v="7"/>
    <x v="7"/>
    <x v="0"/>
    <n v="5"/>
    <n v="12000"/>
    <n v="0.05"/>
    <n v="57000"/>
    <x v="0"/>
  </r>
  <r>
    <n v="1345"/>
    <s v="01-02-2024"/>
    <x v="14"/>
    <x v="0"/>
    <x v="4"/>
    <x v="1"/>
    <n v="1"/>
    <n v="2000"/>
    <n v="0"/>
    <n v="2000"/>
    <x v="9"/>
  </r>
  <r>
    <n v="1346"/>
    <s v="29-02-2024"/>
    <x v="14"/>
    <x v="7"/>
    <x v="3"/>
    <x v="0"/>
    <n v="3"/>
    <n v="30000"/>
    <n v="0.15"/>
    <n v="76500"/>
    <x v="9"/>
  </r>
  <r>
    <n v="1347"/>
    <s v="29-01-2024"/>
    <x v="6"/>
    <x v="0"/>
    <x v="0"/>
    <x v="0"/>
    <n v="5"/>
    <n v="20000"/>
    <n v="0.15"/>
    <n v="85000"/>
    <x v="4"/>
  </r>
  <r>
    <n v="1348"/>
    <s v="13-10-2024"/>
    <x v="6"/>
    <x v="6"/>
    <x v="2"/>
    <x v="1"/>
    <n v="4"/>
    <n v="1500"/>
    <n v="0"/>
    <n v="6000"/>
    <x v="1"/>
  </r>
  <r>
    <n v="1349"/>
    <s v="02-01-2024"/>
    <x v="14"/>
    <x v="4"/>
    <x v="1"/>
    <x v="0"/>
    <n v="4"/>
    <n v="50000"/>
    <n v="0.1"/>
    <n v="180000"/>
    <x v="4"/>
  </r>
  <r>
    <n v="1350"/>
    <s v="24-12-2024"/>
    <x v="8"/>
    <x v="1"/>
    <x v="1"/>
    <x v="0"/>
    <n v="4"/>
    <n v="50000"/>
    <n v="0.1"/>
    <n v="180000"/>
    <x v="7"/>
  </r>
  <r>
    <n v="1351"/>
    <s v="26-05-2024"/>
    <x v="1"/>
    <x v="0"/>
    <x v="0"/>
    <x v="0"/>
    <n v="4"/>
    <n v="20000"/>
    <n v="0"/>
    <n v="80000"/>
    <x v="0"/>
  </r>
  <r>
    <n v="1352"/>
    <s v="14-07-2024"/>
    <x v="6"/>
    <x v="5"/>
    <x v="3"/>
    <x v="0"/>
    <n v="4"/>
    <n v="30000"/>
    <n v="0.1"/>
    <n v="108000"/>
    <x v="3"/>
  </r>
  <r>
    <n v="1353"/>
    <s v="30-11-2024"/>
    <x v="7"/>
    <x v="4"/>
    <x v="2"/>
    <x v="1"/>
    <n v="1"/>
    <n v="1500"/>
    <n v="0.05"/>
    <n v="1425"/>
    <x v="5"/>
  </r>
  <r>
    <n v="1354"/>
    <s v="27-09-2024"/>
    <x v="4"/>
    <x v="2"/>
    <x v="3"/>
    <x v="0"/>
    <n v="5"/>
    <n v="30000"/>
    <n v="0.15"/>
    <n v="127500"/>
    <x v="10"/>
  </r>
  <r>
    <n v="1355"/>
    <s v="25-08-2024"/>
    <x v="1"/>
    <x v="5"/>
    <x v="1"/>
    <x v="0"/>
    <n v="1"/>
    <n v="50000"/>
    <n v="0.1"/>
    <n v="45000"/>
    <x v="6"/>
  </r>
  <r>
    <n v="1356"/>
    <s v="26-06-2024"/>
    <x v="4"/>
    <x v="6"/>
    <x v="6"/>
    <x v="2"/>
    <n v="2"/>
    <n v="3000"/>
    <n v="0.15"/>
    <n v="5100"/>
    <x v="11"/>
  </r>
  <r>
    <n v="1357"/>
    <s v="04-12-2024"/>
    <x v="1"/>
    <x v="1"/>
    <x v="6"/>
    <x v="2"/>
    <n v="1"/>
    <n v="3000"/>
    <n v="0"/>
    <n v="3000"/>
    <x v="7"/>
  </r>
  <r>
    <n v="1358"/>
    <s v="21-02-2024"/>
    <x v="15"/>
    <x v="7"/>
    <x v="6"/>
    <x v="2"/>
    <n v="2"/>
    <n v="3000"/>
    <n v="0"/>
    <n v="6000"/>
    <x v="9"/>
  </r>
  <r>
    <n v="1359"/>
    <s v="24-07-2024"/>
    <x v="6"/>
    <x v="2"/>
    <x v="1"/>
    <x v="0"/>
    <n v="2"/>
    <n v="50000"/>
    <n v="0"/>
    <n v="100000"/>
    <x v="3"/>
  </r>
  <r>
    <n v="1360"/>
    <s v="14-09-2024"/>
    <x v="13"/>
    <x v="2"/>
    <x v="6"/>
    <x v="2"/>
    <n v="1"/>
    <n v="3000"/>
    <n v="0.05"/>
    <n v="2850"/>
    <x v="10"/>
  </r>
  <r>
    <n v="1361"/>
    <s v="01-05-2024"/>
    <x v="13"/>
    <x v="0"/>
    <x v="4"/>
    <x v="1"/>
    <n v="5"/>
    <n v="2000"/>
    <n v="0.1"/>
    <n v="9000"/>
    <x v="0"/>
  </r>
  <r>
    <n v="1362"/>
    <s v="20-05-2024"/>
    <x v="15"/>
    <x v="0"/>
    <x v="6"/>
    <x v="2"/>
    <n v="4"/>
    <n v="3000"/>
    <n v="0.1"/>
    <n v="10800"/>
    <x v="0"/>
  </r>
  <r>
    <n v="1363"/>
    <s v="25-01-2024"/>
    <x v="7"/>
    <x v="5"/>
    <x v="2"/>
    <x v="1"/>
    <n v="5"/>
    <n v="1500"/>
    <n v="0.15"/>
    <n v="6375"/>
    <x v="4"/>
  </r>
  <r>
    <n v="1364"/>
    <s v="17-03-2024"/>
    <x v="13"/>
    <x v="5"/>
    <x v="4"/>
    <x v="1"/>
    <n v="4"/>
    <n v="2000"/>
    <n v="0.15"/>
    <n v="6800"/>
    <x v="8"/>
  </r>
  <r>
    <n v="1365"/>
    <s v="03-05-2024"/>
    <x v="0"/>
    <x v="6"/>
    <x v="3"/>
    <x v="0"/>
    <n v="5"/>
    <n v="30000"/>
    <n v="0.15"/>
    <n v="127500"/>
    <x v="0"/>
  </r>
  <r>
    <n v="1366"/>
    <s v="14-10-2024"/>
    <x v="1"/>
    <x v="5"/>
    <x v="3"/>
    <x v="0"/>
    <n v="4"/>
    <n v="30000"/>
    <n v="0"/>
    <n v="120000"/>
    <x v="1"/>
  </r>
  <r>
    <n v="1367"/>
    <s v="10-05-2024"/>
    <x v="14"/>
    <x v="3"/>
    <x v="3"/>
    <x v="0"/>
    <n v="4"/>
    <n v="30000"/>
    <n v="0.05"/>
    <n v="114000"/>
    <x v="0"/>
  </r>
  <r>
    <n v="1368"/>
    <s v="17-02-2024"/>
    <x v="14"/>
    <x v="1"/>
    <x v="0"/>
    <x v="0"/>
    <n v="4"/>
    <n v="20000"/>
    <n v="0.1"/>
    <n v="72000"/>
    <x v="9"/>
  </r>
  <r>
    <n v="1369"/>
    <s v="07-02-2024"/>
    <x v="14"/>
    <x v="2"/>
    <x v="5"/>
    <x v="2"/>
    <n v="4"/>
    <n v="7000"/>
    <n v="0"/>
    <n v="28000"/>
    <x v="9"/>
  </r>
  <r>
    <n v="1370"/>
    <s v="04-06-2024"/>
    <x v="2"/>
    <x v="2"/>
    <x v="7"/>
    <x v="0"/>
    <n v="2"/>
    <n v="12000"/>
    <n v="0.1"/>
    <n v="21600"/>
    <x v="11"/>
  </r>
  <r>
    <n v="1371"/>
    <s v="04-05-2024"/>
    <x v="14"/>
    <x v="5"/>
    <x v="6"/>
    <x v="2"/>
    <n v="1"/>
    <n v="3000"/>
    <n v="0.15"/>
    <n v="2550"/>
    <x v="0"/>
  </r>
  <r>
    <n v="1372"/>
    <s v="24-05-2024"/>
    <x v="11"/>
    <x v="7"/>
    <x v="6"/>
    <x v="2"/>
    <n v="5"/>
    <n v="3000"/>
    <n v="0.1"/>
    <n v="13500"/>
    <x v="0"/>
  </r>
  <r>
    <n v="1373"/>
    <s v="03-07-2024"/>
    <x v="10"/>
    <x v="7"/>
    <x v="4"/>
    <x v="1"/>
    <n v="3"/>
    <n v="2000"/>
    <n v="0.1"/>
    <n v="5400"/>
    <x v="3"/>
  </r>
  <r>
    <n v="1374"/>
    <s v="14-04-2024"/>
    <x v="7"/>
    <x v="3"/>
    <x v="0"/>
    <x v="0"/>
    <n v="4"/>
    <n v="20000"/>
    <n v="0.1"/>
    <n v="72000"/>
    <x v="2"/>
  </r>
  <r>
    <n v="1375"/>
    <s v="15-03-2024"/>
    <x v="2"/>
    <x v="6"/>
    <x v="2"/>
    <x v="1"/>
    <n v="1"/>
    <n v="1500"/>
    <n v="0.05"/>
    <n v="1425"/>
    <x v="8"/>
  </r>
  <r>
    <n v="1376"/>
    <s v="10-04-2024"/>
    <x v="9"/>
    <x v="2"/>
    <x v="2"/>
    <x v="1"/>
    <n v="3"/>
    <n v="1500"/>
    <n v="0.05"/>
    <n v="4275"/>
    <x v="2"/>
  </r>
  <r>
    <n v="1377"/>
    <s v="12-09-2024"/>
    <x v="9"/>
    <x v="6"/>
    <x v="2"/>
    <x v="1"/>
    <n v="5"/>
    <n v="1500"/>
    <n v="0.05"/>
    <n v="7125"/>
    <x v="10"/>
  </r>
  <r>
    <n v="1378"/>
    <s v="27-03-2024"/>
    <x v="7"/>
    <x v="0"/>
    <x v="7"/>
    <x v="0"/>
    <n v="4"/>
    <n v="12000"/>
    <n v="0.15"/>
    <n v="40800"/>
    <x v="8"/>
  </r>
  <r>
    <n v="1379"/>
    <s v="04-04-2024"/>
    <x v="15"/>
    <x v="1"/>
    <x v="3"/>
    <x v="0"/>
    <n v="5"/>
    <n v="30000"/>
    <n v="0.15"/>
    <n v="127500"/>
    <x v="2"/>
  </r>
  <r>
    <n v="1380"/>
    <s v="30-07-2024"/>
    <x v="4"/>
    <x v="2"/>
    <x v="0"/>
    <x v="0"/>
    <n v="1"/>
    <n v="20000"/>
    <n v="0"/>
    <n v="20000"/>
    <x v="3"/>
  </r>
  <r>
    <n v="1381"/>
    <s v="21-04-2024"/>
    <x v="6"/>
    <x v="3"/>
    <x v="0"/>
    <x v="0"/>
    <n v="2"/>
    <n v="20000"/>
    <n v="0"/>
    <n v="40000"/>
    <x v="2"/>
  </r>
  <r>
    <n v="1382"/>
    <s v="03-12-2024"/>
    <x v="10"/>
    <x v="1"/>
    <x v="1"/>
    <x v="0"/>
    <n v="5"/>
    <n v="50000"/>
    <n v="0.15"/>
    <n v="212500"/>
    <x v="7"/>
  </r>
  <r>
    <n v="1383"/>
    <s v="07-01-2024"/>
    <x v="2"/>
    <x v="6"/>
    <x v="1"/>
    <x v="0"/>
    <n v="5"/>
    <n v="50000"/>
    <n v="0.15"/>
    <n v="212500"/>
    <x v="4"/>
  </r>
  <r>
    <n v="1384"/>
    <s v="01-04-2024"/>
    <x v="5"/>
    <x v="4"/>
    <x v="5"/>
    <x v="2"/>
    <n v="1"/>
    <n v="7000"/>
    <n v="0.15"/>
    <n v="5950"/>
    <x v="2"/>
  </r>
  <r>
    <n v="1385"/>
    <s v="13-11-2024"/>
    <x v="3"/>
    <x v="3"/>
    <x v="3"/>
    <x v="0"/>
    <n v="2"/>
    <n v="30000"/>
    <n v="0.05"/>
    <n v="57000"/>
    <x v="5"/>
  </r>
  <r>
    <n v="1386"/>
    <s v="10-07-2024"/>
    <x v="11"/>
    <x v="7"/>
    <x v="5"/>
    <x v="2"/>
    <n v="4"/>
    <n v="7000"/>
    <n v="0"/>
    <n v="28000"/>
    <x v="3"/>
  </r>
  <r>
    <n v="1387"/>
    <s v="16-12-2024"/>
    <x v="8"/>
    <x v="1"/>
    <x v="6"/>
    <x v="2"/>
    <n v="2"/>
    <n v="3000"/>
    <n v="0.1"/>
    <n v="5400"/>
    <x v="7"/>
  </r>
  <r>
    <n v="1388"/>
    <s v="12-07-2024"/>
    <x v="10"/>
    <x v="1"/>
    <x v="0"/>
    <x v="0"/>
    <n v="4"/>
    <n v="20000"/>
    <n v="0.15"/>
    <n v="68000"/>
    <x v="3"/>
  </r>
  <r>
    <n v="1389"/>
    <s v="12-09-2024"/>
    <x v="1"/>
    <x v="3"/>
    <x v="1"/>
    <x v="0"/>
    <n v="2"/>
    <n v="50000"/>
    <n v="0"/>
    <n v="100000"/>
    <x v="10"/>
  </r>
  <r>
    <n v="1390"/>
    <s v="27-04-2024"/>
    <x v="14"/>
    <x v="7"/>
    <x v="0"/>
    <x v="0"/>
    <n v="5"/>
    <n v="20000"/>
    <n v="0"/>
    <n v="100000"/>
    <x v="2"/>
  </r>
  <r>
    <n v="1391"/>
    <s v="16-12-2024"/>
    <x v="3"/>
    <x v="1"/>
    <x v="5"/>
    <x v="2"/>
    <n v="1"/>
    <n v="7000"/>
    <n v="0"/>
    <n v="7000"/>
    <x v="7"/>
  </r>
  <r>
    <n v="1392"/>
    <s v="16-04-2024"/>
    <x v="4"/>
    <x v="5"/>
    <x v="3"/>
    <x v="0"/>
    <n v="3"/>
    <n v="30000"/>
    <n v="0"/>
    <n v="90000"/>
    <x v="2"/>
  </r>
  <r>
    <n v="1393"/>
    <s v="15-10-2024"/>
    <x v="0"/>
    <x v="5"/>
    <x v="0"/>
    <x v="0"/>
    <n v="3"/>
    <n v="20000"/>
    <n v="0.05"/>
    <n v="57000"/>
    <x v="1"/>
  </r>
  <r>
    <n v="1394"/>
    <s v="18-12-2024"/>
    <x v="8"/>
    <x v="3"/>
    <x v="4"/>
    <x v="1"/>
    <n v="4"/>
    <n v="2000"/>
    <n v="0.05"/>
    <n v="7600"/>
    <x v="7"/>
  </r>
  <r>
    <n v="1395"/>
    <s v="28-04-2024"/>
    <x v="8"/>
    <x v="3"/>
    <x v="1"/>
    <x v="0"/>
    <n v="1"/>
    <n v="50000"/>
    <n v="0.15"/>
    <n v="42500"/>
    <x v="2"/>
  </r>
  <r>
    <n v="1396"/>
    <s v="20-11-2024"/>
    <x v="3"/>
    <x v="7"/>
    <x v="2"/>
    <x v="1"/>
    <n v="3"/>
    <n v="1500"/>
    <n v="0"/>
    <n v="4500"/>
    <x v="5"/>
  </r>
  <r>
    <n v="1397"/>
    <s v="10-10-2024"/>
    <x v="11"/>
    <x v="5"/>
    <x v="7"/>
    <x v="0"/>
    <n v="2"/>
    <n v="12000"/>
    <n v="0.1"/>
    <n v="21600"/>
    <x v="1"/>
  </r>
  <r>
    <n v="1398"/>
    <s v="13-02-2024"/>
    <x v="13"/>
    <x v="2"/>
    <x v="3"/>
    <x v="0"/>
    <n v="5"/>
    <n v="30000"/>
    <n v="0.15"/>
    <n v="127500"/>
    <x v="9"/>
  </r>
  <r>
    <n v="1399"/>
    <s v="19-03-2024"/>
    <x v="11"/>
    <x v="0"/>
    <x v="0"/>
    <x v="0"/>
    <n v="1"/>
    <n v="20000"/>
    <n v="0.1"/>
    <n v="18000"/>
    <x v="8"/>
  </r>
  <r>
    <n v="1400"/>
    <s v="24-02-2024"/>
    <x v="8"/>
    <x v="1"/>
    <x v="2"/>
    <x v="1"/>
    <n v="3"/>
    <n v="1500"/>
    <n v="0.1"/>
    <n v="4050"/>
    <x v="9"/>
  </r>
  <r>
    <n v="1401"/>
    <s v="18-05-2024"/>
    <x v="5"/>
    <x v="0"/>
    <x v="5"/>
    <x v="2"/>
    <n v="4"/>
    <n v="7000"/>
    <n v="0.1"/>
    <n v="25200"/>
    <x v="0"/>
  </r>
  <r>
    <n v="1402"/>
    <s v="17-08-2024"/>
    <x v="1"/>
    <x v="4"/>
    <x v="0"/>
    <x v="0"/>
    <n v="2"/>
    <n v="20000"/>
    <n v="0.15"/>
    <n v="34000"/>
    <x v="6"/>
  </r>
  <r>
    <n v="1403"/>
    <s v="10-10-2024"/>
    <x v="8"/>
    <x v="3"/>
    <x v="1"/>
    <x v="0"/>
    <n v="1"/>
    <n v="50000"/>
    <n v="0.1"/>
    <n v="45000"/>
    <x v="1"/>
  </r>
  <r>
    <n v="1404"/>
    <s v="30-07-2024"/>
    <x v="11"/>
    <x v="4"/>
    <x v="2"/>
    <x v="1"/>
    <n v="1"/>
    <n v="1500"/>
    <n v="0.1"/>
    <n v="1350"/>
    <x v="3"/>
  </r>
  <r>
    <n v="1405"/>
    <s v="16-12-2024"/>
    <x v="11"/>
    <x v="0"/>
    <x v="6"/>
    <x v="2"/>
    <n v="5"/>
    <n v="3000"/>
    <n v="0.05"/>
    <n v="14250"/>
    <x v="7"/>
  </r>
  <r>
    <n v="1406"/>
    <s v="17-05-2024"/>
    <x v="10"/>
    <x v="0"/>
    <x v="3"/>
    <x v="0"/>
    <n v="3"/>
    <n v="30000"/>
    <n v="0.1"/>
    <n v="81000"/>
    <x v="0"/>
  </r>
  <r>
    <n v="1407"/>
    <s v="21-05-2024"/>
    <x v="1"/>
    <x v="6"/>
    <x v="0"/>
    <x v="0"/>
    <n v="2"/>
    <n v="20000"/>
    <n v="0.15"/>
    <n v="34000"/>
    <x v="0"/>
  </r>
  <r>
    <n v="1408"/>
    <s v="08-05-2024"/>
    <x v="0"/>
    <x v="7"/>
    <x v="7"/>
    <x v="0"/>
    <n v="1"/>
    <n v="12000"/>
    <n v="0.1"/>
    <n v="10800"/>
    <x v="0"/>
  </r>
  <r>
    <n v="1409"/>
    <s v="10-03-2024"/>
    <x v="13"/>
    <x v="1"/>
    <x v="6"/>
    <x v="2"/>
    <n v="4"/>
    <n v="3000"/>
    <n v="0"/>
    <n v="12000"/>
    <x v="8"/>
  </r>
  <r>
    <n v="1410"/>
    <s v="17-06-2024"/>
    <x v="6"/>
    <x v="3"/>
    <x v="2"/>
    <x v="1"/>
    <n v="3"/>
    <n v="1500"/>
    <n v="0.15"/>
    <n v="3825"/>
    <x v="11"/>
  </r>
  <r>
    <n v="1411"/>
    <s v="02-06-2024"/>
    <x v="9"/>
    <x v="2"/>
    <x v="2"/>
    <x v="1"/>
    <n v="5"/>
    <n v="1500"/>
    <n v="0.05"/>
    <n v="7125"/>
    <x v="11"/>
  </r>
  <r>
    <n v="1412"/>
    <s v="22-07-2024"/>
    <x v="9"/>
    <x v="6"/>
    <x v="7"/>
    <x v="0"/>
    <n v="3"/>
    <n v="12000"/>
    <n v="0.05"/>
    <n v="34200"/>
    <x v="3"/>
  </r>
  <r>
    <n v="1413"/>
    <s v="15-06-2024"/>
    <x v="11"/>
    <x v="6"/>
    <x v="7"/>
    <x v="0"/>
    <n v="5"/>
    <n v="12000"/>
    <n v="0.05"/>
    <n v="57000"/>
    <x v="11"/>
  </r>
  <r>
    <n v="1414"/>
    <s v="15-10-2024"/>
    <x v="14"/>
    <x v="0"/>
    <x v="2"/>
    <x v="1"/>
    <n v="3"/>
    <n v="1500"/>
    <n v="0"/>
    <n v="4500"/>
    <x v="1"/>
  </r>
  <r>
    <n v="1415"/>
    <s v="12-08-2024"/>
    <x v="13"/>
    <x v="4"/>
    <x v="1"/>
    <x v="0"/>
    <n v="4"/>
    <n v="50000"/>
    <n v="0.05"/>
    <n v="190000"/>
    <x v="6"/>
  </r>
  <r>
    <n v="1416"/>
    <s v="20-11-2024"/>
    <x v="13"/>
    <x v="2"/>
    <x v="2"/>
    <x v="1"/>
    <n v="4"/>
    <n v="1500"/>
    <n v="0.05"/>
    <n v="5700"/>
    <x v="5"/>
  </r>
  <r>
    <n v="1417"/>
    <s v="12-07-2024"/>
    <x v="8"/>
    <x v="7"/>
    <x v="5"/>
    <x v="2"/>
    <n v="2"/>
    <n v="7000"/>
    <n v="0.15"/>
    <n v="11900"/>
    <x v="3"/>
  </r>
  <r>
    <n v="1418"/>
    <s v="30-09-2024"/>
    <x v="1"/>
    <x v="1"/>
    <x v="7"/>
    <x v="0"/>
    <n v="5"/>
    <n v="12000"/>
    <n v="0.15"/>
    <n v="51000"/>
    <x v="10"/>
  </r>
  <r>
    <n v="1419"/>
    <s v="25-02-2024"/>
    <x v="0"/>
    <x v="3"/>
    <x v="4"/>
    <x v="1"/>
    <n v="5"/>
    <n v="2000"/>
    <n v="0"/>
    <n v="10000"/>
    <x v="9"/>
  </r>
  <r>
    <n v="1420"/>
    <s v="15-10-2024"/>
    <x v="11"/>
    <x v="3"/>
    <x v="3"/>
    <x v="0"/>
    <n v="5"/>
    <n v="30000"/>
    <n v="0"/>
    <n v="150000"/>
    <x v="1"/>
  </r>
  <r>
    <n v="1421"/>
    <s v="20-02-2024"/>
    <x v="3"/>
    <x v="2"/>
    <x v="2"/>
    <x v="1"/>
    <n v="1"/>
    <n v="1500"/>
    <n v="0"/>
    <n v="1500"/>
    <x v="9"/>
  </r>
  <r>
    <n v="1422"/>
    <s v="19-07-2024"/>
    <x v="6"/>
    <x v="0"/>
    <x v="6"/>
    <x v="2"/>
    <n v="4"/>
    <n v="3000"/>
    <n v="0.1"/>
    <n v="10800"/>
    <x v="3"/>
  </r>
  <r>
    <n v="1423"/>
    <s v="23-02-2024"/>
    <x v="13"/>
    <x v="5"/>
    <x v="4"/>
    <x v="1"/>
    <n v="1"/>
    <n v="2000"/>
    <n v="0.15"/>
    <n v="1700"/>
    <x v="9"/>
  </r>
  <r>
    <n v="1424"/>
    <s v="27-06-2024"/>
    <x v="13"/>
    <x v="3"/>
    <x v="0"/>
    <x v="0"/>
    <n v="1"/>
    <n v="20000"/>
    <n v="0.05"/>
    <n v="19000"/>
    <x v="11"/>
  </r>
  <r>
    <n v="1425"/>
    <s v="27-06-2024"/>
    <x v="10"/>
    <x v="4"/>
    <x v="7"/>
    <x v="0"/>
    <n v="2"/>
    <n v="12000"/>
    <n v="0.15"/>
    <n v="20400"/>
    <x v="11"/>
  </r>
  <r>
    <n v="1426"/>
    <s v="04-02-2024"/>
    <x v="13"/>
    <x v="1"/>
    <x v="7"/>
    <x v="0"/>
    <n v="4"/>
    <n v="12000"/>
    <n v="0.1"/>
    <n v="43200"/>
    <x v="9"/>
  </r>
  <r>
    <n v="1427"/>
    <s v="27-11-2024"/>
    <x v="5"/>
    <x v="0"/>
    <x v="0"/>
    <x v="0"/>
    <n v="1"/>
    <n v="20000"/>
    <n v="0.1"/>
    <n v="18000"/>
    <x v="5"/>
  </r>
  <r>
    <n v="1428"/>
    <s v="09-10-2024"/>
    <x v="12"/>
    <x v="3"/>
    <x v="6"/>
    <x v="2"/>
    <n v="5"/>
    <n v="3000"/>
    <n v="0.05"/>
    <n v="14250"/>
    <x v="1"/>
  </r>
  <r>
    <n v="1429"/>
    <s v="26-07-2024"/>
    <x v="12"/>
    <x v="0"/>
    <x v="2"/>
    <x v="1"/>
    <n v="4"/>
    <n v="1500"/>
    <n v="0.05"/>
    <n v="5700"/>
    <x v="3"/>
  </r>
  <r>
    <n v="1430"/>
    <s v="10-11-2024"/>
    <x v="14"/>
    <x v="7"/>
    <x v="2"/>
    <x v="1"/>
    <n v="4"/>
    <n v="1500"/>
    <n v="0"/>
    <n v="6000"/>
    <x v="5"/>
  </r>
  <r>
    <n v="1431"/>
    <s v="26-12-2024"/>
    <x v="14"/>
    <x v="2"/>
    <x v="2"/>
    <x v="1"/>
    <n v="4"/>
    <n v="1500"/>
    <n v="0"/>
    <n v="6000"/>
    <x v="7"/>
  </r>
  <r>
    <n v="1432"/>
    <s v="01-10-2024"/>
    <x v="12"/>
    <x v="3"/>
    <x v="5"/>
    <x v="2"/>
    <n v="1"/>
    <n v="7000"/>
    <n v="0"/>
    <n v="7000"/>
    <x v="1"/>
  </r>
  <r>
    <n v="1433"/>
    <s v="28-02-2024"/>
    <x v="3"/>
    <x v="7"/>
    <x v="4"/>
    <x v="1"/>
    <n v="2"/>
    <n v="2000"/>
    <n v="0.15"/>
    <n v="3400"/>
    <x v="9"/>
  </r>
  <r>
    <n v="1434"/>
    <s v="08-11-2024"/>
    <x v="11"/>
    <x v="4"/>
    <x v="4"/>
    <x v="1"/>
    <n v="5"/>
    <n v="2000"/>
    <n v="0.15"/>
    <n v="8500"/>
    <x v="5"/>
  </r>
  <r>
    <n v="1435"/>
    <s v="12-11-2024"/>
    <x v="12"/>
    <x v="6"/>
    <x v="4"/>
    <x v="1"/>
    <n v="3"/>
    <n v="2000"/>
    <n v="0.15"/>
    <n v="5100"/>
    <x v="5"/>
  </r>
  <r>
    <n v="1436"/>
    <s v="01-03-2024"/>
    <x v="0"/>
    <x v="6"/>
    <x v="0"/>
    <x v="0"/>
    <n v="2"/>
    <n v="20000"/>
    <n v="0.1"/>
    <n v="36000"/>
    <x v="8"/>
  </r>
  <r>
    <n v="1437"/>
    <s v="21-12-2024"/>
    <x v="4"/>
    <x v="5"/>
    <x v="0"/>
    <x v="0"/>
    <n v="2"/>
    <n v="20000"/>
    <n v="0.1"/>
    <n v="36000"/>
    <x v="7"/>
  </r>
  <r>
    <n v="1438"/>
    <s v="21-10-2024"/>
    <x v="11"/>
    <x v="5"/>
    <x v="2"/>
    <x v="1"/>
    <n v="5"/>
    <n v="1500"/>
    <n v="0.05"/>
    <n v="7125"/>
    <x v="1"/>
  </r>
  <r>
    <n v="1439"/>
    <s v="11-10-2024"/>
    <x v="12"/>
    <x v="7"/>
    <x v="3"/>
    <x v="0"/>
    <n v="4"/>
    <n v="30000"/>
    <n v="0.05"/>
    <n v="114000"/>
    <x v="1"/>
  </r>
  <r>
    <n v="1440"/>
    <s v="10-06-2024"/>
    <x v="6"/>
    <x v="1"/>
    <x v="5"/>
    <x v="2"/>
    <n v="2"/>
    <n v="7000"/>
    <n v="0.05"/>
    <n v="13300"/>
    <x v="11"/>
  </r>
  <r>
    <n v="1441"/>
    <s v="10-03-2024"/>
    <x v="14"/>
    <x v="5"/>
    <x v="4"/>
    <x v="1"/>
    <n v="1"/>
    <n v="2000"/>
    <n v="0.15"/>
    <n v="1700"/>
    <x v="8"/>
  </r>
  <r>
    <n v="1442"/>
    <s v="31-07-2024"/>
    <x v="6"/>
    <x v="7"/>
    <x v="7"/>
    <x v="0"/>
    <n v="4"/>
    <n v="12000"/>
    <n v="0.15"/>
    <n v="40800"/>
    <x v="3"/>
  </r>
  <r>
    <n v="1443"/>
    <s v="22-04-2024"/>
    <x v="13"/>
    <x v="1"/>
    <x v="3"/>
    <x v="0"/>
    <n v="1"/>
    <n v="30000"/>
    <n v="0"/>
    <n v="30000"/>
    <x v="2"/>
  </r>
  <r>
    <n v="1444"/>
    <s v="27-03-2024"/>
    <x v="6"/>
    <x v="7"/>
    <x v="5"/>
    <x v="2"/>
    <n v="2"/>
    <n v="7000"/>
    <n v="0.1"/>
    <n v="12600"/>
    <x v="8"/>
  </r>
  <r>
    <n v="1445"/>
    <s v="17-05-2024"/>
    <x v="7"/>
    <x v="1"/>
    <x v="0"/>
    <x v="0"/>
    <n v="5"/>
    <n v="20000"/>
    <n v="0"/>
    <n v="100000"/>
    <x v="0"/>
  </r>
  <r>
    <n v="1446"/>
    <s v="05-08-2024"/>
    <x v="5"/>
    <x v="2"/>
    <x v="7"/>
    <x v="0"/>
    <n v="5"/>
    <n v="12000"/>
    <n v="0.05"/>
    <n v="57000"/>
    <x v="6"/>
  </r>
  <r>
    <n v="1447"/>
    <s v="14-05-2024"/>
    <x v="7"/>
    <x v="4"/>
    <x v="5"/>
    <x v="2"/>
    <n v="1"/>
    <n v="7000"/>
    <n v="0.15"/>
    <n v="5950"/>
    <x v="0"/>
  </r>
  <r>
    <n v="1448"/>
    <s v="17-04-2024"/>
    <x v="7"/>
    <x v="5"/>
    <x v="7"/>
    <x v="0"/>
    <n v="1"/>
    <n v="12000"/>
    <n v="0.05"/>
    <n v="11400"/>
    <x v="2"/>
  </r>
  <r>
    <n v="1449"/>
    <s v="15-04-2024"/>
    <x v="14"/>
    <x v="1"/>
    <x v="3"/>
    <x v="0"/>
    <n v="5"/>
    <n v="30000"/>
    <n v="0.05"/>
    <n v="142500"/>
    <x v="2"/>
  </r>
  <r>
    <n v="1450"/>
    <s v="01-11-2024"/>
    <x v="12"/>
    <x v="3"/>
    <x v="4"/>
    <x v="1"/>
    <n v="5"/>
    <n v="2000"/>
    <n v="0.1"/>
    <n v="9000"/>
    <x v="5"/>
  </r>
  <r>
    <n v="1451"/>
    <s v="20-09-2024"/>
    <x v="5"/>
    <x v="0"/>
    <x v="5"/>
    <x v="2"/>
    <n v="3"/>
    <n v="7000"/>
    <n v="0.1"/>
    <n v="18900"/>
    <x v="10"/>
  </r>
  <r>
    <n v="1452"/>
    <s v="01-12-2024"/>
    <x v="4"/>
    <x v="0"/>
    <x v="2"/>
    <x v="1"/>
    <n v="1"/>
    <n v="1500"/>
    <n v="0.1"/>
    <n v="1350"/>
    <x v="7"/>
  </r>
  <r>
    <n v="1453"/>
    <s v="06-05-2024"/>
    <x v="11"/>
    <x v="7"/>
    <x v="6"/>
    <x v="2"/>
    <n v="2"/>
    <n v="3000"/>
    <n v="0.1"/>
    <n v="5400"/>
    <x v="0"/>
  </r>
  <r>
    <n v="1454"/>
    <s v="17-11-2024"/>
    <x v="1"/>
    <x v="5"/>
    <x v="3"/>
    <x v="0"/>
    <n v="5"/>
    <n v="30000"/>
    <n v="0.1"/>
    <n v="135000"/>
    <x v="5"/>
  </r>
  <r>
    <n v="1455"/>
    <s v="25-07-2024"/>
    <x v="3"/>
    <x v="3"/>
    <x v="7"/>
    <x v="0"/>
    <n v="1"/>
    <n v="12000"/>
    <n v="0"/>
    <n v="12000"/>
    <x v="3"/>
  </r>
  <r>
    <n v="1456"/>
    <s v="24-10-2024"/>
    <x v="2"/>
    <x v="4"/>
    <x v="7"/>
    <x v="0"/>
    <n v="4"/>
    <n v="12000"/>
    <n v="0.1"/>
    <n v="43200"/>
    <x v="1"/>
  </r>
  <r>
    <n v="1457"/>
    <s v="30-09-2024"/>
    <x v="11"/>
    <x v="2"/>
    <x v="7"/>
    <x v="0"/>
    <n v="3"/>
    <n v="12000"/>
    <n v="0"/>
    <n v="36000"/>
    <x v="10"/>
  </r>
  <r>
    <n v="1458"/>
    <s v="17-05-2024"/>
    <x v="9"/>
    <x v="6"/>
    <x v="2"/>
    <x v="1"/>
    <n v="2"/>
    <n v="1500"/>
    <n v="0.15"/>
    <n v="2550"/>
    <x v="0"/>
  </r>
  <r>
    <n v="1459"/>
    <s v="16-10-2024"/>
    <x v="10"/>
    <x v="3"/>
    <x v="4"/>
    <x v="1"/>
    <n v="5"/>
    <n v="2000"/>
    <n v="0.05"/>
    <n v="9500"/>
    <x v="1"/>
  </r>
  <r>
    <n v="1460"/>
    <s v="16-11-2024"/>
    <x v="6"/>
    <x v="1"/>
    <x v="1"/>
    <x v="0"/>
    <n v="1"/>
    <n v="50000"/>
    <n v="0"/>
    <n v="50000"/>
    <x v="5"/>
  </r>
  <r>
    <n v="1461"/>
    <s v="21-08-2024"/>
    <x v="2"/>
    <x v="5"/>
    <x v="0"/>
    <x v="0"/>
    <n v="2"/>
    <n v="20000"/>
    <n v="0.15"/>
    <n v="34000"/>
    <x v="6"/>
  </r>
  <r>
    <n v="1462"/>
    <s v="22-03-2024"/>
    <x v="3"/>
    <x v="4"/>
    <x v="6"/>
    <x v="2"/>
    <n v="2"/>
    <n v="3000"/>
    <n v="0.1"/>
    <n v="5400"/>
    <x v="8"/>
  </r>
  <r>
    <n v="1463"/>
    <s v="09-07-2024"/>
    <x v="12"/>
    <x v="1"/>
    <x v="4"/>
    <x v="1"/>
    <n v="3"/>
    <n v="2000"/>
    <n v="0"/>
    <n v="6000"/>
    <x v="3"/>
  </r>
  <r>
    <n v="1464"/>
    <s v="07-08-2024"/>
    <x v="8"/>
    <x v="4"/>
    <x v="2"/>
    <x v="1"/>
    <n v="3"/>
    <n v="1500"/>
    <n v="0.05"/>
    <n v="4275"/>
    <x v="6"/>
  </r>
  <r>
    <n v="1465"/>
    <s v="09-02-2024"/>
    <x v="4"/>
    <x v="2"/>
    <x v="1"/>
    <x v="0"/>
    <n v="2"/>
    <n v="50000"/>
    <n v="0.15"/>
    <n v="85000"/>
    <x v="9"/>
  </r>
  <r>
    <n v="1466"/>
    <s v="22-12-2024"/>
    <x v="9"/>
    <x v="4"/>
    <x v="7"/>
    <x v="0"/>
    <n v="1"/>
    <n v="12000"/>
    <n v="0"/>
    <n v="12000"/>
    <x v="7"/>
  </r>
  <r>
    <n v="1467"/>
    <s v="06-02-2024"/>
    <x v="0"/>
    <x v="5"/>
    <x v="2"/>
    <x v="1"/>
    <n v="2"/>
    <n v="1500"/>
    <n v="0.15"/>
    <n v="2550"/>
    <x v="9"/>
  </r>
  <r>
    <n v="1468"/>
    <s v="09-06-2024"/>
    <x v="7"/>
    <x v="6"/>
    <x v="0"/>
    <x v="0"/>
    <n v="1"/>
    <n v="20000"/>
    <n v="0"/>
    <n v="20000"/>
    <x v="11"/>
  </r>
  <r>
    <n v="1469"/>
    <s v="24-11-2024"/>
    <x v="4"/>
    <x v="4"/>
    <x v="3"/>
    <x v="0"/>
    <n v="4"/>
    <n v="30000"/>
    <n v="0.05"/>
    <n v="114000"/>
    <x v="5"/>
  </r>
  <r>
    <n v="1470"/>
    <s v="13-08-2024"/>
    <x v="7"/>
    <x v="2"/>
    <x v="1"/>
    <x v="0"/>
    <n v="5"/>
    <n v="50000"/>
    <n v="0.05"/>
    <n v="237500"/>
    <x v="6"/>
  </r>
  <r>
    <n v="1471"/>
    <s v="21-04-2024"/>
    <x v="8"/>
    <x v="4"/>
    <x v="3"/>
    <x v="0"/>
    <n v="4"/>
    <n v="30000"/>
    <n v="0.15"/>
    <n v="102000"/>
    <x v="2"/>
  </r>
  <r>
    <n v="1472"/>
    <s v="28-06-2024"/>
    <x v="1"/>
    <x v="3"/>
    <x v="3"/>
    <x v="0"/>
    <n v="1"/>
    <n v="30000"/>
    <n v="0.15"/>
    <n v="25500"/>
    <x v="11"/>
  </r>
  <r>
    <n v="1473"/>
    <s v="26-11-2024"/>
    <x v="8"/>
    <x v="2"/>
    <x v="3"/>
    <x v="0"/>
    <n v="2"/>
    <n v="30000"/>
    <n v="0.1"/>
    <n v="54000"/>
    <x v="5"/>
  </r>
  <r>
    <n v="1474"/>
    <s v="15-04-2024"/>
    <x v="14"/>
    <x v="5"/>
    <x v="5"/>
    <x v="2"/>
    <n v="1"/>
    <n v="7000"/>
    <n v="0.1"/>
    <n v="6300"/>
    <x v="2"/>
  </r>
  <r>
    <n v="1475"/>
    <s v="10-09-2024"/>
    <x v="11"/>
    <x v="4"/>
    <x v="5"/>
    <x v="2"/>
    <n v="1"/>
    <n v="7000"/>
    <n v="0.05"/>
    <n v="6650"/>
    <x v="10"/>
  </r>
  <r>
    <n v="1476"/>
    <s v="27-09-2024"/>
    <x v="2"/>
    <x v="3"/>
    <x v="6"/>
    <x v="2"/>
    <n v="4"/>
    <n v="3000"/>
    <n v="0"/>
    <n v="12000"/>
    <x v="10"/>
  </r>
  <r>
    <n v="1477"/>
    <s v="18-10-2024"/>
    <x v="1"/>
    <x v="3"/>
    <x v="4"/>
    <x v="1"/>
    <n v="2"/>
    <n v="2000"/>
    <n v="0.15"/>
    <n v="3400"/>
    <x v="1"/>
  </r>
  <r>
    <n v="1478"/>
    <s v="09-01-2024"/>
    <x v="8"/>
    <x v="1"/>
    <x v="3"/>
    <x v="0"/>
    <n v="4"/>
    <n v="30000"/>
    <n v="0"/>
    <n v="120000"/>
    <x v="4"/>
  </r>
  <r>
    <n v="1479"/>
    <s v="31-01-2024"/>
    <x v="11"/>
    <x v="6"/>
    <x v="5"/>
    <x v="2"/>
    <n v="2"/>
    <n v="7000"/>
    <n v="0"/>
    <n v="14000"/>
    <x v="4"/>
  </r>
  <r>
    <n v="1480"/>
    <s v="12-02-2024"/>
    <x v="4"/>
    <x v="6"/>
    <x v="2"/>
    <x v="1"/>
    <n v="4"/>
    <n v="1500"/>
    <n v="0.15"/>
    <n v="5100"/>
    <x v="9"/>
  </r>
  <r>
    <n v="1481"/>
    <s v="18-09-2024"/>
    <x v="14"/>
    <x v="0"/>
    <x v="0"/>
    <x v="0"/>
    <n v="3"/>
    <n v="20000"/>
    <n v="0"/>
    <n v="60000"/>
    <x v="10"/>
  </r>
  <r>
    <n v="1482"/>
    <s v="07-06-2024"/>
    <x v="1"/>
    <x v="2"/>
    <x v="4"/>
    <x v="1"/>
    <n v="4"/>
    <n v="2000"/>
    <n v="0"/>
    <n v="8000"/>
    <x v="11"/>
  </r>
  <r>
    <n v="1483"/>
    <s v="10-08-2024"/>
    <x v="5"/>
    <x v="7"/>
    <x v="1"/>
    <x v="0"/>
    <n v="2"/>
    <n v="50000"/>
    <n v="0"/>
    <n v="100000"/>
    <x v="6"/>
  </r>
  <r>
    <n v="1484"/>
    <s v="02-03-2024"/>
    <x v="2"/>
    <x v="0"/>
    <x v="1"/>
    <x v="0"/>
    <n v="3"/>
    <n v="50000"/>
    <n v="0.05"/>
    <n v="142500"/>
    <x v="8"/>
  </r>
  <r>
    <n v="1485"/>
    <s v="26-06-2024"/>
    <x v="3"/>
    <x v="0"/>
    <x v="1"/>
    <x v="0"/>
    <n v="2"/>
    <n v="50000"/>
    <n v="0.15"/>
    <n v="85000"/>
    <x v="11"/>
  </r>
  <r>
    <n v="1486"/>
    <s v="01-03-2024"/>
    <x v="2"/>
    <x v="3"/>
    <x v="4"/>
    <x v="1"/>
    <n v="2"/>
    <n v="2000"/>
    <n v="0.1"/>
    <n v="3600"/>
    <x v="8"/>
  </r>
  <r>
    <n v="1487"/>
    <s v="14-05-2024"/>
    <x v="8"/>
    <x v="7"/>
    <x v="2"/>
    <x v="1"/>
    <n v="3"/>
    <n v="1500"/>
    <n v="0"/>
    <n v="4500"/>
    <x v="0"/>
  </r>
  <r>
    <n v="1488"/>
    <s v="29-01-2024"/>
    <x v="10"/>
    <x v="0"/>
    <x v="7"/>
    <x v="0"/>
    <n v="5"/>
    <n v="12000"/>
    <n v="0.1"/>
    <n v="54000"/>
    <x v="4"/>
  </r>
  <r>
    <n v="1489"/>
    <s v="22-02-2024"/>
    <x v="5"/>
    <x v="2"/>
    <x v="4"/>
    <x v="1"/>
    <n v="2"/>
    <n v="2000"/>
    <n v="0.1"/>
    <n v="3600"/>
    <x v="9"/>
  </r>
  <r>
    <n v="1490"/>
    <s v="05-05-2024"/>
    <x v="15"/>
    <x v="7"/>
    <x v="1"/>
    <x v="0"/>
    <n v="1"/>
    <n v="50000"/>
    <n v="0"/>
    <n v="50000"/>
    <x v="0"/>
  </r>
  <r>
    <n v="1491"/>
    <s v="01-04-2024"/>
    <x v="15"/>
    <x v="5"/>
    <x v="4"/>
    <x v="1"/>
    <n v="4"/>
    <n v="2000"/>
    <n v="0.05"/>
    <n v="7600"/>
    <x v="2"/>
  </r>
  <r>
    <n v="1492"/>
    <s v="01-08-2024"/>
    <x v="9"/>
    <x v="6"/>
    <x v="6"/>
    <x v="2"/>
    <n v="3"/>
    <n v="3000"/>
    <n v="0.05"/>
    <n v="8550"/>
    <x v="6"/>
  </r>
  <r>
    <n v="1493"/>
    <s v="02-03-2024"/>
    <x v="15"/>
    <x v="0"/>
    <x v="0"/>
    <x v="0"/>
    <n v="5"/>
    <n v="20000"/>
    <n v="0.1"/>
    <n v="90000"/>
    <x v="8"/>
  </r>
  <r>
    <n v="1494"/>
    <s v="24-07-2024"/>
    <x v="8"/>
    <x v="7"/>
    <x v="6"/>
    <x v="2"/>
    <n v="5"/>
    <n v="3000"/>
    <n v="0"/>
    <n v="15000"/>
    <x v="3"/>
  </r>
  <r>
    <n v="1495"/>
    <s v="14-02-2024"/>
    <x v="6"/>
    <x v="1"/>
    <x v="5"/>
    <x v="2"/>
    <n v="3"/>
    <n v="7000"/>
    <n v="0.1"/>
    <n v="18900"/>
    <x v="9"/>
  </r>
  <r>
    <n v="1496"/>
    <s v="15-10-2024"/>
    <x v="13"/>
    <x v="2"/>
    <x v="4"/>
    <x v="1"/>
    <n v="2"/>
    <n v="2000"/>
    <n v="0.1"/>
    <n v="3600"/>
    <x v="1"/>
  </r>
  <r>
    <n v="1497"/>
    <s v="10-04-2024"/>
    <x v="0"/>
    <x v="0"/>
    <x v="7"/>
    <x v="0"/>
    <n v="3"/>
    <n v="12000"/>
    <n v="0.15"/>
    <n v="30600"/>
    <x v="2"/>
  </r>
  <r>
    <n v="1498"/>
    <s v="29-04-2024"/>
    <x v="7"/>
    <x v="1"/>
    <x v="1"/>
    <x v="0"/>
    <n v="4"/>
    <n v="50000"/>
    <n v="0"/>
    <n v="200000"/>
    <x v="2"/>
  </r>
  <r>
    <n v="1499"/>
    <s v="06-06-2024"/>
    <x v="5"/>
    <x v="2"/>
    <x v="4"/>
    <x v="1"/>
    <n v="1"/>
    <n v="2000"/>
    <n v="0.15"/>
    <n v="1700"/>
    <x v="11"/>
  </r>
  <r>
    <n v="1500"/>
    <s v="31-01-2024"/>
    <x v="4"/>
    <x v="6"/>
    <x v="6"/>
    <x v="2"/>
    <n v="4"/>
    <n v="3000"/>
    <n v="0.15"/>
    <n v="10200"/>
    <x v="4"/>
  </r>
  <r>
    <n v="1501"/>
    <s v="23-09-2024"/>
    <x v="1"/>
    <x v="3"/>
    <x v="0"/>
    <x v="0"/>
    <n v="1"/>
    <n v="20000"/>
    <n v="0.05"/>
    <n v="19000"/>
    <x v="10"/>
  </r>
  <r>
    <n v="1502"/>
    <s v="15-09-2024"/>
    <x v="4"/>
    <x v="5"/>
    <x v="7"/>
    <x v="0"/>
    <n v="1"/>
    <n v="12000"/>
    <n v="0"/>
    <n v="12000"/>
    <x v="10"/>
  </r>
  <r>
    <n v="1503"/>
    <s v="10-08-2024"/>
    <x v="4"/>
    <x v="2"/>
    <x v="0"/>
    <x v="0"/>
    <n v="5"/>
    <n v="20000"/>
    <n v="0"/>
    <n v="100000"/>
    <x v="6"/>
  </r>
  <r>
    <n v="1504"/>
    <s v="20-07-2024"/>
    <x v="9"/>
    <x v="3"/>
    <x v="5"/>
    <x v="2"/>
    <n v="3"/>
    <n v="7000"/>
    <n v="0.1"/>
    <n v="18900"/>
    <x v="3"/>
  </r>
  <r>
    <n v="1505"/>
    <s v="08-02-2024"/>
    <x v="14"/>
    <x v="0"/>
    <x v="7"/>
    <x v="0"/>
    <n v="3"/>
    <n v="12000"/>
    <n v="0.05"/>
    <n v="34200"/>
    <x v="9"/>
  </r>
  <r>
    <n v="1506"/>
    <s v="25-03-2024"/>
    <x v="6"/>
    <x v="7"/>
    <x v="0"/>
    <x v="0"/>
    <n v="2"/>
    <n v="20000"/>
    <n v="0"/>
    <n v="40000"/>
    <x v="8"/>
  </r>
  <r>
    <n v="1507"/>
    <s v="01-10-2024"/>
    <x v="7"/>
    <x v="2"/>
    <x v="4"/>
    <x v="1"/>
    <n v="4"/>
    <n v="2000"/>
    <n v="0"/>
    <n v="8000"/>
    <x v="1"/>
  </r>
  <r>
    <n v="1508"/>
    <s v="15-05-2024"/>
    <x v="5"/>
    <x v="4"/>
    <x v="7"/>
    <x v="0"/>
    <n v="3"/>
    <n v="12000"/>
    <n v="0.15"/>
    <n v="30600"/>
    <x v="0"/>
  </r>
  <r>
    <n v="1509"/>
    <s v="20-04-2024"/>
    <x v="9"/>
    <x v="0"/>
    <x v="3"/>
    <x v="0"/>
    <n v="3"/>
    <n v="30000"/>
    <n v="0"/>
    <n v="90000"/>
    <x v="2"/>
  </r>
  <r>
    <n v="1510"/>
    <s v="21-07-2024"/>
    <x v="15"/>
    <x v="6"/>
    <x v="0"/>
    <x v="0"/>
    <n v="2"/>
    <n v="20000"/>
    <n v="0.1"/>
    <n v="36000"/>
    <x v="3"/>
  </r>
  <r>
    <n v="1511"/>
    <s v="26-07-2024"/>
    <x v="6"/>
    <x v="2"/>
    <x v="5"/>
    <x v="2"/>
    <n v="2"/>
    <n v="7000"/>
    <n v="0"/>
    <n v="14000"/>
    <x v="3"/>
  </r>
  <r>
    <n v="1512"/>
    <s v="12-03-2024"/>
    <x v="5"/>
    <x v="1"/>
    <x v="0"/>
    <x v="0"/>
    <n v="4"/>
    <n v="20000"/>
    <n v="0"/>
    <n v="80000"/>
    <x v="8"/>
  </r>
  <r>
    <n v="1513"/>
    <s v="11-04-2024"/>
    <x v="11"/>
    <x v="3"/>
    <x v="1"/>
    <x v="0"/>
    <n v="2"/>
    <n v="50000"/>
    <n v="0.05"/>
    <n v="95000"/>
    <x v="2"/>
  </r>
  <r>
    <n v="1514"/>
    <s v="08-02-2024"/>
    <x v="2"/>
    <x v="4"/>
    <x v="0"/>
    <x v="0"/>
    <n v="5"/>
    <n v="20000"/>
    <n v="0.1"/>
    <n v="90000"/>
    <x v="9"/>
  </r>
  <r>
    <n v="1515"/>
    <s v="17-02-2024"/>
    <x v="9"/>
    <x v="4"/>
    <x v="6"/>
    <x v="2"/>
    <n v="4"/>
    <n v="3000"/>
    <n v="0.05"/>
    <n v="11400"/>
    <x v="9"/>
  </r>
  <r>
    <n v="1516"/>
    <s v="27-03-2024"/>
    <x v="1"/>
    <x v="5"/>
    <x v="1"/>
    <x v="0"/>
    <n v="4"/>
    <n v="50000"/>
    <n v="0"/>
    <n v="200000"/>
    <x v="8"/>
  </r>
  <r>
    <n v="1517"/>
    <s v="15-12-2024"/>
    <x v="1"/>
    <x v="0"/>
    <x v="7"/>
    <x v="0"/>
    <n v="1"/>
    <n v="12000"/>
    <n v="0.15"/>
    <n v="10200"/>
    <x v="7"/>
  </r>
  <r>
    <n v="1518"/>
    <s v="20-05-2024"/>
    <x v="3"/>
    <x v="7"/>
    <x v="4"/>
    <x v="1"/>
    <n v="2"/>
    <n v="2000"/>
    <n v="0.05"/>
    <n v="3800"/>
    <x v="0"/>
  </r>
  <r>
    <n v="1519"/>
    <s v="27-11-2024"/>
    <x v="13"/>
    <x v="7"/>
    <x v="3"/>
    <x v="0"/>
    <n v="1"/>
    <n v="30000"/>
    <n v="0.05"/>
    <n v="28500"/>
    <x v="5"/>
  </r>
  <r>
    <n v="1520"/>
    <s v="01-02-2024"/>
    <x v="8"/>
    <x v="6"/>
    <x v="2"/>
    <x v="1"/>
    <n v="5"/>
    <n v="1500"/>
    <n v="0.15"/>
    <n v="6375"/>
    <x v="9"/>
  </r>
  <r>
    <n v="1521"/>
    <s v="12-04-2024"/>
    <x v="0"/>
    <x v="1"/>
    <x v="2"/>
    <x v="1"/>
    <n v="2"/>
    <n v="1500"/>
    <n v="0.15"/>
    <n v="2550"/>
    <x v="2"/>
  </r>
  <r>
    <n v="1522"/>
    <s v="05-10-2024"/>
    <x v="10"/>
    <x v="3"/>
    <x v="2"/>
    <x v="1"/>
    <n v="3"/>
    <n v="1500"/>
    <n v="0.15"/>
    <n v="3825"/>
    <x v="1"/>
  </r>
  <r>
    <n v="1523"/>
    <s v="02-04-2024"/>
    <x v="2"/>
    <x v="3"/>
    <x v="4"/>
    <x v="1"/>
    <n v="4"/>
    <n v="2000"/>
    <n v="0.1"/>
    <n v="7200"/>
    <x v="2"/>
  </r>
  <r>
    <n v="1524"/>
    <s v="30-01-2024"/>
    <x v="10"/>
    <x v="3"/>
    <x v="6"/>
    <x v="2"/>
    <n v="1"/>
    <n v="3000"/>
    <n v="0.1"/>
    <n v="2700"/>
    <x v="4"/>
  </r>
  <r>
    <n v="1525"/>
    <s v="06-05-2024"/>
    <x v="0"/>
    <x v="6"/>
    <x v="6"/>
    <x v="2"/>
    <n v="2"/>
    <n v="3000"/>
    <n v="0"/>
    <n v="6000"/>
    <x v="0"/>
  </r>
  <r>
    <n v="1526"/>
    <s v="30-06-2024"/>
    <x v="12"/>
    <x v="0"/>
    <x v="1"/>
    <x v="0"/>
    <n v="2"/>
    <n v="50000"/>
    <n v="0.15"/>
    <n v="85000"/>
    <x v="11"/>
  </r>
  <r>
    <n v="1527"/>
    <s v="23-12-2024"/>
    <x v="7"/>
    <x v="1"/>
    <x v="6"/>
    <x v="2"/>
    <n v="5"/>
    <n v="3000"/>
    <n v="0.1"/>
    <n v="13500"/>
    <x v="7"/>
  </r>
  <r>
    <n v="1528"/>
    <s v="15-10-2024"/>
    <x v="14"/>
    <x v="7"/>
    <x v="4"/>
    <x v="1"/>
    <n v="5"/>
    <n v="2000"/>
    <n v="0.05"/>
    <n v="9500"/>
    <x v="1"/>
  </r>
  <r>
    <n v="1529"/>
    <s v="20-01-2024"/>
    <x v="8"/>
    <x v="1"/>
    <x v="5"/>
    <x v="2"/>
    <n v="2"/>
    <n v="7000"/>
    <n v="0.15"/>
    <n v="11900"/>
    <x v="4"/>
  </r>
  <r>
    <n v="1530"/>
    <s v="11-01-2024"/>
    <x v="10"/>
    <x v="1"/>
    <x v="6"/>
    <x v="2"/>
    <n v="5"/>
    <n v="3000"/>
    <n v="0.05"/>
    <n v="14250"/>
    <x v="4"/>
  </r>
  <r>
    <n v="1531"/>
    <s v="07-03-2024"/>
    <x v="9"/>
    <x v="0"/>
    <x v="4"/>
    <x v="1"/>
    <n v="5"/>
    <n v="2000"/>
    <n v="0.05"/>
    <n v="9500"/>
    <x v="8"/>
  </r>
  <r>
    <n v="1532"/>
    <s v="16-03-2024"/>
    <x v="4"/>
    <x v="4"/>
    <x v="4"/>
    <x v="1"/>
    <n v="1"/>
    <n v="2000"/>
    <n v="0"/>
    <n v="2000"/>
    <x v="8"/>
  </r>
  <r>
    <n v="1533"/>
    <s v="26-12-2024"/>
    <x v="11"/>
    <x v="4"/>
    <x v="4"/>
    <x v="1"/>
    <n v="1"/>
    <n v="2000"/>
    <n v="0.1"/>
    <n v="1800"/>
    <x v="7"/>
  </r>
  <r>
    <n v="1534"/>
    <s v="10-03-2024"/>
    <x v="12"/>
    <x v="5"/>
    <x v="4"/>
    <x v="1"/>
    <n v="3"/>
    <n v="2000"/>
    <n v="0.1"/>
    <n v="5400"/>
    <x v="8"/>
  </r>
  <r>
    <n v="1535"/>
    <s v="28-12-2024"/>
    <x v="7"/>
    <x v="2"/>
    <x v="7"/>
    <x v="0"/>
    <n v="3"/>
    <n v="12000"/>
    <n v="0.05"/>
    <n v="34200"/>
    <x v="7"/>
  </r>
  <r>
    <n v="1536"/>
    <s v="18-12-2024"/>
    <x v="13"/>
    <x v="0"/>
    <x v="3"/>
    <x v="0"/>
    <n v="4"/>
    <n v="30000"/>
    <n v="0.1"/>
    <n v="108000"/>
    <x v="7"/>
  </r>
  <r>
    <n v="1537"/>
    <s v="17-10-2024"/>
    <x v="15"/>
    <x v="0"/>
    <x v="3"/>
    <x v="0"/>
    <n v="1"/>
    <n v="30000"/>
    <n v="0.15"/>
    <n v="25500"/>
    <x v="1"/>
  </r>
  <r>
    <n v="1538"/>
    <s v="23-11-2024"/>
    <x v="5"/>
    <x v="7"/>
    <x v="4"/>
    <x v="1"/>
    <n v="5"/>
    <n v="2000"/>
    <n v="0.05"/>
    <n v="9500"/>
    <x v="5"/>
  </r>
  <r>
    <n v="1539"/>
    <s v="01-05-2024"/>
    <x v="7"/>
    <x v="3"/>
    <x v="3"/>
    <x v="0"/>
    <n v="3"/>
    <n v="30000"/>
    <n v="0"/>
    <n v="90000"/>
    <x v="0"/>
  </r>
  <r>
    <n v="1540"/>
    <s v="16-08-2024"/>
    <x v="2"/>
    <x v="6"/>
    <x v="3"/>
    <x v="0"/>
    <n v="1"/>
    <n v="30000"/>
    <n v="0.1"/>
    <n v="27000"/>
    <x v="6"/>
  </r>
  <r>
    <n v="1541"/>
    <s v="28-06-2024"/>
    <x v="3"/>
    <x v="4"/>
    <x v="6"/>
    <x v="2"/>
    <n v="2"/>
    <n v="3000"/>
    <n v="0"/>
    <n v="6000"/>
    <x v="11"/>
  </r>
  <r>
    <n v="1542"/>
    <s v="12-08-2024"/>
    <x v="1"/>
    <x v="0"/>
    <x v="1"/>
    <x v="0"/>
    <n v="1"/>
    <n v="50000"/>
    <n v="0.15"/>
    <n v="42500"/>
    <x v="6"/>
  </r>
  <r>
    <n v="1543"/>
    <s v="28-06-2024"/>
    <x v="11"/>
    <x v="4"/>
    <x v="2"/>
    <x v="1"/>
    <n v="4"/>
    <n v="1500"/>
    <n v="0.15"/>
    <n v="5100"/>
    <x v="11"/>
  </r>
  <r>
    <n v="1544"/>
    <s v="24-03-2024"/>
    <x v="6"/>
    <x v="4"/>
    <x v="7"/>
    <x v="0"/>
    <n v="5"/>
    <n v="12000"/>
    <n v="0.05"/>
    <n v="57000"/>
    <x v="8"/>
  </r>
  <r>
    <n v="1545"/>
    <s v="12-06-2024"/>
    <x v="3"/>
    <x v="4"/>
    <x v="1"/>
    <x v="0"/>
    <n v="3"/>
    <n v="50000"/>
    <n v="0"/>
    <n v="150000"/>
    <x v="11"/>
  </r>
  <r>
    <n v="1546"/>
    <s v="11-07-2024"/>
    <x v="12"/>
    <x v="4"/>
    <x v="0"/>
    <x v="0"/>
    <n v="3"/>
    <n v="20000"/>
    <n v="0.05"/>
    <n v="57000"/>
    <x v="3"/>
  </r>
  <r>
    <n v="1547"/>
    <s v="26-12-2024"/>
    <x v="2"/>
    <x v="5"/>
    <x v="0"/>
    <x v="0"/>
    <n v="3"/>
    <n v="20000"/>
    <n v="0.15"/>
    <n v="51000"/>
    <x v="7"/>
  </r>
  <r>
    <n v="1548"/>
    <s v="21-03-2024"/>
    <x v="15"/>
    <x v="4"/>
    <x v="3"/>
    <x v="0"/>
    <n v="5"/>
    <n v="30000"/>
    <n v="0.15"/>
    <n v="127500"/>
    <x v="8"/>
  </r>
  <r>
    <n v="1549"/>
    <s v="28-07-2024"/>
    <x v="3"/>
    <x v="6"/>
    <x v="4"/>
    <x v="1"/>
    <n v="2"/>
    <n v="2000"/>
    <n v="0.05"/>
    <n v="3800"/>
    <x v="3"/>
  </r>
  <r>
    <n v="1550"/>
    <s v="26-01-2024"/>
    <x v="11"/>
    <x v="7"/>
    <x v="5"/>
    <x v="2"/>
    <n v="2"/>
    <n v="7000"/>
    <n v="0"/>
    <n v="14000"/>
    <x v="4"/>
  </r>
  <r>
    <n v="1551"/>
    <s v="02-01-2024"/>
    <x v="1"/>
    <x v="4"/>
    <x v="3"/>
    <x v="0"/>
    <n v="1"/>
    <n v="30000"/>
    <n v="0.1"/>
    <n v="27000"/>
    <x v="4"/>
  </r>
  <r>
    <n v="1552"/>
    <s v="12-04-2024"/>
    <x v="5"/>
    <x v="1"/>
    <x v="5"/>
    <x v="2"/>
    <n v="5"/>
    <n v="7000"/>
    <n v="0.15"/>
    <n v="29750"/>
    <x v="2"/>
  </r>
  <r>
    <n v="1553"/>
    <s v="11-02-2024"/>
    <x v="10"/>
    <x v="4"/>
    <x v="6"/>
    <x v="2"/>
    <n v="2"/>
    <n v="3000"/>
    <n v="0.1"/>
    <n v="5400"/>
    <x v="9"/>
  </r>
  <r>
    <n v="1554"/>
    <s v="07-09-2024"/>
    <x v="3"/>
    <x v="4"/>
    <x v="5"/>
    <x v="2"/>
    <n v="4"/>
    <n v="7000"/>
    <n v="0.15"/>
    <n v="23800"/>
    <x v="10"/>
  </r>
  <r>
    <n v="1555"/>
    <s v="14-07-2024"/>
    <x v="7"/>
    <x v="0"/>
    <x v="2"/>
    <x v="1"/>
    <n v="2"/>
    <n v="1500"/>
    <n v="0.1"/>
    <n v="2700"/>
    <x v="3"/>
  </r>
  <r>
    <n v="1556"/>
    <s v="13-08-2024"/>
    <x v="6"/>
    <x v="6"/>
    <x v="7"/>
    <x v="0"/>
    <n v="1"/>
    <n v="12000"/>
    <n v="0.1"/>
    <n v="10800"/>
    <x v="6"/>
  </r>
  <r>
    <n v="1557"/>
    <s v="18-03-2024"/>
    <x v="5"/>
    <x v="4"/>
    <x v="6"/>
    <x v="2"/>
    <n v="3"/>
    <n v="3000"/>
    <n v="0"/>
    <n v="9000"/>
    <x v="8"/>
  </r>
  <r>
    <n v="1558"/>
    <s v="28-10-2024"/>
    <x v="0"/>
    <x v="1"/>
    <x v="4"/>
    <x v="1"/>
    <n v="5"/>
    <n v="2000"/>
    <n v="0.15"/>
    <n v="8500"/>
    <x v="1"/>
  </r>
  <r>
    <n v="1559"/>
    <s v="01-10-2024"/>
    <x v="10"/>
    <x v="2"/>
    <x v="2"/>
    <x v="1"/>
    <n v="5"/>
    <n v="1500"/>
    <n v="0.15"/>
    <n v="6375"/>
    <x v="1"/>
  </r>
  <r>
    <n v="1560"/>
    <s v="21-07-2024"/>
    <x v="15"/>
    <x v="0"/>
    <x v="7"/>
    <x v="0"/>
    <n v="3"/>
    <n v="12000"/>
    <n v="0"/>
    <n v="36000"/>
    <x v="3"/>
  </r>
  <r>
    <n v="1561"/>
    <s v="26-03-2024"/>
    <x v="14"/>
    <x v="2"/>
    <x v="0"/>
    <x v="0"/>
    <n v="4"/>
    <n v="20000"/>
    <n v="0.05"/>
    <n v="76000"/>
    <x v="8"/>
  </r>
  <r>
    <n v="1562"/>
    <s v="10-02-2024"/>
    <x v="1"/>
    <x v="2"/>
    <x v="3"/>
    <x v="0"/>
    <n v="1"/>
    <n v="30000"/>
    <n v="0.15"/>
    <n v="25500"/>
    <x v="9"/>
  </r>
  <r>
    <n v="1563"/>
    <s v="12-06-2024"/>
    <x v="8"/>
    <x v="4"/>
    <x v="3"/>
    <x v="0"/>
    <n v="5"/>
    <n v="30000"/>
    <n v="0.1"/>
    <n v="135000"/>
    <x v="11"/>
  </r>
  <r>
    <n v="1564"/>
    <s v="09-10-2024"/>
    <x v="9"/>
    <x v="6"/>
    <x v="2"/>
    <x v="1"/>
    <n v="5"/>
    <n v="1500"/>
    <n v="0.15"/>
    <n v="6375"/>
    <x v="1"/>
  </r>
  <r>
    <n v="1565"/>
    <s v="27-02-2024"/>
    <x v="1"/>
    <x v="0"/>
    <x v="7"/>
    <x v="0"/>
    <n v="1"/>
    <n v="12000"/>
    <n v="0.15"/>
    <n v="10200"/>
    <x v="9"/>
  </r>
  <r>
    <n v="1566"/>
    <s v="24-02-2024"/>
    <x v="5"/>
    <x v="6"/>
    <x v="3"/>
    <x v="0"/>
    <n v="5"/>
    <n v="30000"/>
    <n v="0"/>
    <n v="150000"/>
    <x v="9"/>
  </r>
  <r>
    <n v="1567"/>
    <s v="15-07-2024"/>
    <x v="10"/>
    <x v="7"/>
    <x v="4"/>
    <x v="1"/>
    <n v="4"/>
    <n v="2000"/>
    <n v="0.1"/>
    <n v="7200"/>
    <x v="3"/>
  </r>
  <r>
    <n v="1568"/>
    <s v="25-07-2024"/>
    <x v="4"/>
    <x v="5"/>
    <x v="1"/>
    <x v="0"/>
    <n v="2"/>
    <n v="50000"/>
    <n v="0.1"/>
    <n v="90000"/>
    <x v="3"/>
  </r>
  <r>
    <n v="1569"/>
    <s v="19-12-2024"/>
    <x v="0"/>
    <x v="1"/>
    <x v="1"/>
    <x v="0"/>
    <n v="4"/>
    <n v="50000"/>
    <n v="0.1"/>
    <n v="180000"/>
    <x v="7"/>
  </r>
  <r>
    <n v="1570"/>
    <s v="11-01-2024"/>
    <x v="9"/>
    <x v="6"/>
    <x v="7"/>
    <x v="0"/>
    <n v="3"/>
    <n v="12000"/>
    <n v="0.1"/>
    <n v="32400"/>
    <x v="4"/>
  </r>
  <r>
    <n v="1571"/>
    <s v="22-12-2024"/>
    <x v="5"/>
    <x v="2"/>
    <x v="5"/>
    <x v="2"/>
    <n v="3"/>
    <n v="7000"/>
    <n v="0.15"/>
    <n v="17850"/>
    <x v="7"/>
  </r>
  <r>
    <n v="1572"/>
    <s v="13-06-2024"/>
    <x v="3"/>
    <x v="5"/>
    <x v="3"/>
    <x v="0"/>
    <n v="3"/>
    <n v="30000"/>
    <n v="0.15"/>
    <n v="76500"/>
    <x v="11"/>
  </r>
  <r>
    <n v="1573"/>
    <s v="18-04-2024"/>
    <x v="1"/>
    <x v="7"/>
    <x v="0"/>
    <x v="0"/>
    <n v="2"/>
    <n v="20000"/>
    <n v="0.15"/>
    <n v="34000"/>
    <x v="2"/>
  </r>
  <r>
    <n v="1574"/>
    <s v="03-02-2024"/>
    <x v="13"/>
    <x v="5"/>
    <x v="4"/>
    <x v="1"/>
    <n v="1"/>
    <n v="2000"/>
    <n v="0.05"/>
    <n v="1900"/>
    <x v="9"/>
  </r>
  <r>
    <n v="1575"/>
    <s v="29-03-2024"/>
    <x v="14"/>
    <x v="2"/>
    <x v="3"/>
    <x v="0"/>
    <n v="5"/>
    <n v="30000"/>
    <n v="0"/>
    <n v="150000"/>
    <x v="8"/>
  </r>
  <r>
    <n v="1576"/>
    <s v="21-08-2024"/>
    <x v="15"/>
    <x v="3"/>
    <x v="1"/>
    <x v="0"/>
    <n v="2"/>
    <n v="50000"/>
    <n v="0"/>
    <n v="100000"/>
    <x v="6"/>
  </r>
  <r>
    <n v="1577"/>
    <s v="25-08-2024"/>
    <x v="11"/>
    <x v="4"/>
    <x v="6"/>
    <x v="2"/>
    <n v="3"/>
    <n v="3000"/>
    <n v="0.1"/>
    <n v="8100"/>
    <x v="6"/>
  </r>
  <r>
    <n v="1578"/>
    <s v="07-09-2024"/>
    <x v="6"/>
    <x v="0"/>
    <x v="1"/>
    <x v="0"/>
    <n v="2"/>
    <n v="50000"/>
    <n v="0.1"/>
    <n v="90000"/>
    <x v="10"/>
  </r>
  <r>
    <n v="1579"/>
    <s v="25-06-2024"/>
    <x v="12"/>
    <x v="6"/>
    <x v="7"/>
    <x v="0"/>
    <n v="5"/>
    <n v="12000"/>
    <n v="0.1"/>
    <n v="54000"/>
    <x v="11"/>
  </r>
  <r>
    <n v="1580"/>
    <s v="16-07-2024"/>
    <x v="15"/>
    <x v="0"/>
    <x v="0"/>
    <x v="0"/>
    <n v="3"/>
    <n v="20000"/>
    <n v="0"/>
    <n v="60000"/>
    <x v="3"/>
  </r>
  <r>
    <n v="1581"/>
    <s v="12-12-2024"/>
    <x v="14"/>
    <x v="6"/>
    <x v="6"/>
    <x v="2"/>
    <n v="2"/>
    <n v="3000"/>
    <n v="0.05"/>
    <n v="5700"/>
    <x v="7"/>
  </r>
  <r>
    <n v="1582"/>
    <s v="15-12-2024"/>
    <x v="2"/>
    <x v="7"/>
    <x v="2"/>
    <x v="1"/>
    <n v="5"/>
    <n v="1500"/>
    <n v="0"/>
    <n v="7500"/>
    <x v="7"/>
  </r>
  <r>
    <n v="1583"/>
    <s v="24-04-2024"/>
    <x v="3"/>
    <x v="6"/>
    <x v="3"/>
    <x v="0"/>
    <n v="2"/>
    <n v="30000"/>
    <n v="0"/>
    <n v="60000"/>
    <x v="2"/>
  </r>
  <r>
    <n v="1584"/>
    <s v="27-06-2024"/>
    <x v="6"/>
    <x v="6"/>
    <x v="5"/>
    <x v="2"/>
    <n v="4"/>
    <n v="7000"/>
    <n v="0.15"/>
    <n v="23800"/>
    <x v="11"/>
  </r>
  <r>
    <n v="1585"/>
    <s v="12-12-2024"/>
    <x v="11"/>
    <x v="4"/>
    <x v="6"/>
    <x v="2"/>
    <n v="4"/>
    <n v="3000"/>
    <n v="0.1"/>
    <n v="10800"/>
    <x v="7"/>
  </r>
  <r>
    <n v="1586"/>
    <s v="14-10-2024"/>
    <x v="13"/>
    <x v="6"/>
    <x v="1"/>
    <x v="0"/>
    <n v="5"/>
    <n v="50000"/>
    <n v="0.1"/>
    <n v="225000"/>
    <x v="1"/>
  </r>
  <r>
    <n v="1587"/>
    <s v="21-06-2024"/>
    <x v="3"/>
    <x v="3"/>
    <x v="0"/>
    <x v="0"/>
    <n v="4"/>
    <n v="20000"/>
    <n v="0"/>
    <n v="80000"/>
    <x v="11"/>
  </r>
  <r>
    <n v="1588"/>
    <s v="06-04-2024"/>
    <x v="4"/>
    <x v="2"/>
    <x v="5"/>
    <x v="2"/>
    <n v="3"/>
    <n v="7000"/>
    <n v="0.1"/>
    <n v="18900"/>
    <x v="2"/>
  </r>
  <r>
    <n v="1589"/>
    <s v="04-12-2024"/>
    <x v="9"/>
    <x v="0"/>
    <x v="1"/>
    <x v="0"/>
    <n v="5"/>
    <n v="50000"/>
    <n v="0.15"/>
    <n v="212500"/>
    <x v="7"/>
  </r>
  <r>
    <n v="1590"/>
    <s v="12-05-2024"/>
    <x v="1"/>
    <x v="5"/>
    <x v="1"/>
    <x v="0"/>
    <n v="4"/>
    <n v="50000"/>
    <n v="0.1"/>
    <n v="180000"/>
    <x v="0"/>
  </r>
  <r>
    <n v="1591"/>
    <s v="24-06-2024"/>
    <x v="0"/>
    <x v="7"/>
    <x v="2"/>
    <x v="1"/>
    <n v="1"/>
    <n v="1500"/>
    <n v="0.05"/>
    <n v="1425"/>
    <x v="11"/>
  </r>
  <r>
    <n v="1592"/>
    <s v="28-03-2024"/>
    <x v="12"/>
    <x v="6"/>
    <x v="4"/>
    <x v="1"/>
    <n v="5"/>
    <n v="2000"/>
    <n v="0.1"/>
    <n v="9000"/>
    <x v="8"/>
  </r>
  <r>
    <n v="1593"/>
    <s v="12-05-2024"/>
    <x v="12"/>
    <x v="3"/>
    <x v="0"/>
    <x v="0"/>
    <n v="4"/>
    <n v="20000"/>
    <n v="0.05"/>
    <n v="76000"/>
    <x v="0"/>
  </r>
  <r>
    <n v="1594"/>
    <s v="24-04-2024"/>
    <x v="13"/>
    <x v="5"/>
    <x v="0"/>
    <x v="0"/>
    <n v="2"/>
    <n v="20000"/>
    <n v="0.1"/>
    <n v="36000"/>
    <x v="2"/>
  </r>
  <r>
    <n v="1595"/>
    <s v="26-10-2024"/>
    <x v="13"/>
    <x v="7"/>
    <x v="4"/>
    <x v="1"/>
    <n v="3"/>
    <n v="2000"/>
    <n v="0.1"/>
    <n v="5400"/>
    <x v="1"/>
  </r>
  <r>
    <n v="1596"/>
    <s v="20-11-2024"/>
    <x v="8"/>
    <x v="7"/>
    <x v="0"/>
    <x v="0"/>
    <n v="4"/>
    <n v="20000"/>
    <n v="0"/>
    <n v="80000"/>
    <x v="5"/>
  </r>
  <r>
    <n v="1597"/>
    <s v="14-12-2024"/>
    <x v="11"/>
    <x v="6"/>
    <x v="6"/>
    <x v="2"/>
    <n v="5"/>
    <n v="3000"/>
    <n v="0"/>
    <n v="15000"/>
    <x v="7"/>
  </r>
  <r>
    <n v="1598"/>
    <s v="11-03-2024"/>
    <x v="14"/>
    <x v="3"/>
    <x v="2"/>
    <x v="1"/>
    <n v="1"/>
    <n v="1500"/>
    <n v="0.05"/>
    <n v="1425"/>
    <x v="8"/>
  </r>
  <r>
    <n v="1599"/>
    <s v="14-03-2024"/>
    <x v="9"/>
    <x v="0"/>
    <x v="2"/>
    <x v="1"/>
    <n v="5"/>
    <n v="1500"/>
    <n v="0.15"/>
    <n v="6375"/>
    <x v="8"/>
  </r>
  <r>
    <n v="1600"/>
    <s v="19-11-2024"/>
    <x v="12"/>
    <x v="3"/>
    <x v="0"/>
    <x v="0"/>
    <n v="4"/>
    <n v="20000"/>
    <n v="0.1"/>
    <n v="72000"/>
    <x v="5"/>
  </r>
  <r>
    <n v="1601"/>
    <s v="20-05-2024"/>
    <x v="14"/>
    <x v="0"/>
    <x v="1"/>
    <x v="0"/>
    <n v="1"/>
    <n v="50000"/>
    <n v="0.15"/>
    <n v="42500"/>
    <x v="0"/>
  </r>
  <r>
    <n v="1602"/>
    <s v="07-03-2024"/>
    <x v="1"/>
    <x v="5"/>
    <x v="3"/>
    <x v="0"/>
    <n v="4"/>
    <n v="30000"/>
    <n v="0"/>
    <n v="120000"/>
    <x v="8"/>
  </r>
  <r>
    <n v="1603"/>
    <s v="15-07-2024"/>
    <x v="2"/>
    <x v="1"/>
    <x v="2"/>
    <x v="1"/>
    <n v="4"/>
    <n v="1500"/>
    <n v="0.15"/>
    <n v="5100"/>
    <x v="3"/>
  </r>
  <r>
    <n v="1604"/>
    <s v="13-06-2024"/>
    <x v="14"/>
    <x v="1"/>
    <x v="6"/>
    <x v="2"/>
    <n v="3"/>
    <n v="3000"/>
    <n v="0"/>
    <n v="9000"/>
    <x v="11"/>
  </r>
  <r>
    <n v="1605"/>
    <s v="21-12-2024"/>
    <x v="7"/>
    <x v="6"/>
    <x v="1"/>
    <x v="0"/>
    <n v="2"/>
    <n v="50000"/>
    <n v="0.05"/>
    <n v="95000"/>
    <x v="7"/>
  </r>
  <r>
    <n v="1606"/>
    <s v="14-09-2024"/>
    <x v="13"/>
    <x v="0"/>
    <x v="3"/>
    <x v="0"/>
    <n v="1"/>
    <n v="30000"/>
    <n v="0.15"/>
    <n v="25500"/>
    <x v="10"/>
  </r>
  <r>
    <n v="1607"/>
    <s v="28-05-2024"/>
    <x v="6"/>
    <x v="3"/>
    <x v="0"/>
    <x v="0"/>
    <n v="1"/>
    <n v="20000"/>
    <n v="0.1"/>
    <n v="18000"/>
    <x v="0"/>
  </r>
  <r>
    <n v="1608"/>
    <s v="07-09-2024"/>
    <x v="7"/>
    <x v="2"/>
    <x v="2"/>
    <x v="1"/>
    <n v="2"/>
    <n v="1500"/>
    <n v="0.1"/>
    <n v="2700"/>
    <x v="10"/>
  </r>
  <r>
    <n v="1609"/>
    <s v="26-04-2024"/>
    <x v="0"/>
    <x v="0"/>
    <x v="3"/>
    <x v="0"/>
    <n v="4"/>
    <n v="30000"/>
    <n v="0"/>
    <n v="120000"/>
    <x v="2"/>
  </r>
  <r>
    <n v="1610"/>
    <s v="04-03-2024"/>
    <x v="7"/>
    <x v="1"/>
    <x v="6"/>
    <x v="2"/>
    <n v="1"/>
    <n v="3000"/>
    <n v="0.05"/>
    <n v="2850"/>
    <x v="8"/>
  </r>
  <r>
    <n v="1611"/>
    <s v="31-10-2024"/>
    <x v="15"/>
    <x v="4"/>
    <x v="2"/>
    <x v="1"/>
    <n v="3"/>
    <n v="1500"/>
    <n v="0"/>
    <n v="4500"/>
    <x v="1"/>
  </r>
  <r>
    <n v="1612"/>
    <s v="01-08-2024"/>
    <x v="6"/>
    <x v="5"/>
    <x v="1"/>
    <x v="0"/>
    <n v="1"/>
    <n v="50000"/>
    <n v="0"/>
    <n v="50000"/>
    <x v="6"/>
  </r>
  <r>
    <n v="1613"/>
    <s v="30-08-2024"/>
    <x v="4"/>
    <x v="2"/>
    <x v="0"/>
    <x v="0"/>
    <n v="5"/>
    <n v="20000"/>
    <n v="0.1"/>
    <n v="90000"/>
    <x v="6"/>
  </r>
  <r>
    <n v="1614"/>
    <s v="04-12-2024"/>
    <x v="5"/>
    <x v="6"/>
    <x v="1"/>
    <x v="0"/>
    <n v="3"/>
    <n v="50000"/>
    <n v="0.15"/>
    <n v="127500"/>
    <x v="7"/>
  </r>
  <r>
    <n v="1615"/>
    <s v="18-09-2024"/>
    <x v="5"/>
    <x v="6"/>
    <x v="3"/>
    <x v="0"/>
    <n v="4"/>
    <n v="30000"/>
    <n v="0"/>
    <n v="120000"/>
    <x v="10"/>
  </r>
  <r>
    <n v="1616"/>
    <s v="11-04-2024"/>
    <x v="14"/>
    <x v="6"/>
    <x v="0"/>
    <x v="0"/>
    <n v="1"/>
    <n v="20000"/>
    <n v="0.15"/>
    <n v="17000"/>
    <x v="2"/>
  </r>
  <r>
    <n v="1617"/>
    <s v="31-05-2024"/>
    <x v="12"/>
    <x v="1"/>
    <x v="6"/>
    <x v="2"/>
    <n v="3"/>
    <n v="3000"/>
    <n v="0.15"/>
    <n v="7650"/>
    <x v="0"/>
  </r>
  <r>
    <n v="1618"/>
    <s v="18-06-2024"/>
    <x v="0"/>
    <x v="1"/>
    <x v="7"/>
    <x v="0"/>
    <n v="2"/>
    <n v="12000"/>
    <n v="0.15"/>
    <n v="20400"/>
    <x v="11"/>
  </r>
  <r>
    <n v="1619"/>
    <s v="20-10-2024"/>
    <x v="10"/>
    <x v="0"/>
    <x v="1"/>
    <x v="0"/>
    <n v="1"/>
    <n v="50000"/>
    <n v="0"/>
    <n v="50000"/>
    <x v="1"/>
  </r>
  <r>
    <n v="1620"/>
    <s v="21-02-2024"/>
    <x v="3"/>
    <x v="2"/>
    <x v="0"/>
    <x v="0"/>
    <n v="5"/>
    <n v="20000"/>
    <n v="0"/>
    <n v="100000"/>
    <x v="9"/>
  </r>
  <r>
    <n v="1621"/>
    <s v="25-08-2024"/>
    <x v="15"/>
    <x v="4"/>
    <x v="7"/>
    <x v="0"/>
    <n v="3"/>
    <n v="12000"/>
    <n v="0.1"/>
    <n v="32400"/>
    <x v="6"/>
  </r>
  <r>
    <n v="1622"/>
    <s v="03-07-2024"/>
    <x v="9"/>
    <x v="5"/>
    <x v="3"/>
    <x v="0"/>
    <n v="1"/>
    <n v="30000"/>
    <n v="0.1"/>
    <n v="27000"/>
    <x v="3"/>
  </r>
  <r>
    <n v="1623"/>
    <s v="05-01-2024"/>
    <x v="4"/>
    <x v="0"/>
    <x v="0"/>
    <x v="0"/>
    <n v="1"/>
    <n v="20000"/>
    <n v="0"/>
    <n v="20000"/>
    <x v="4"/>
  </r>
  <r>
    <n v="1624"/>
    <s v="14-11-2024"/>
    <x v="3"/>
    <x v="4"/>
    <x v="4"/>
    <x v="1"/>
    <n v="3"/>
    <n v="2000"/>
    <n v="0.15"/>
    <n v="5100"/>
    <x v="5"/>
  </r>
  <r>
    <n v="1625"/>
    <s v="28-02-2024"/>
    <x v="11"/>
    <x v="5"/>
    <x v="4"/>
    <x v="1"/>
    <n v="3"/>
    <n v="2000"/>
    <n v="0.05"/>
    <n v="5700"/>
    <x v="9"/>
  </r>
  <r>
    <n v="1626"/>
    <s v="19-12-2024"/>
    <x v="10"/>
    <x v="5"/>
    <x v="7"/>
    <x v="0"/>
    <n v="3"/>
    <n v="12000"/>
    <n v="0.15"/>
    <n v="30600"/>
    <x v="7"/>
  </r>
  <r>
    <n v="1627"/>
    <s v="22-12-2024"/>
    <x v="15"/>
    <x v="0"/>
    <x v="3"/>
    <x v="0"/>
    <n v="1"/>
    <n v="30000"/>
    <n v="0.05"/>
    <n v="28500"/>
    <x v="7"/>
  </r>
  <r>
    <n v="1628"/>
    <s v="18-10-2024"/>
    <x v="6"/>
    <x v="0"/>
    <x v="0"/>
    <x v="0"/>
    <n v="4"/>
    <n v="20000"/>
    <n v="0.15"/>
    <n v="68000"/>
    <x v="1"/>
  </r>
  <r>
    <n v="1629"/>
    <s v="16-12-2024"/>
    <x v="4"/>
    <x v="7"/>
    <x v="2"/>
    <x v="1"/>
    <n v="3"/>
    <n v="1500"/>
    <n v="0"/>
    <n v="4500"/>
    <x v="7"/>
  </r>
  <r>
    <n v="1630"/>
    <s v="13-08-2024"/>
    <x v="15"/>
    <x v="4"/>
    <x v="7"/>
    <x v="0"/>
    <n v="1"/>
    <n v="12000"/>
    <n v="0.15"/>
    <n v="10200"/>
    <x v="6"/>
  </r>
  <r>
    <n v="1631"/>
    <s v="26-12-2024"/>
    <x v="0"/>
    <x v="3"/>
    <x v="5"/>
    <x v="2"/>
    <n v="3"/>
    <n v="7000"/>
    <n v="0"/>
    <n v="21000"/>
    <x v="7"/>
  </r>
  <r>
    <n v="1632"/>
    <s v="03-09-2024"/>
    <x v="7"/>
    <x v="5"/>
    <x v="0"/>
    <x v="0"/>
    <n v="4"/>
    <n v="20000"/>
    <n v="0.05"/>
    <n v="76000"/>
    <x v="10"/>
  </r>
  <r>
    <n v="1633"/>
    <s v="06-01-2024"/>
    <x v="12"/>
    <x v="7"/>
    <x v="3"/>
    <x v="0"/>
    <n v="5"/>
    <n v="30000"/>
    <n v="0"/>
    <n v="150000"/>
    <x v="4"/>
  </r>
  <r>
    <n v="1634"/>
    <s v="08-09-2024"/>
    <x v="9"/>
    <x v="2"/>
    <x v="7"/>
    <x v="0"/>
    <n v="2"/>
    <n v="12000"/>
    <n v="0"/>
    <n v="24000"/>
    <x v="10"/>
  </r>
  <r>
    <n v="1635"/>
    <s v="16-09-2024"/>
    <x v="0"/>
    <x v="5"/>
    <x v="4"/>
    <x v="1"/>
    <n v="3"/>
    <n v="2000"/>
    <n v="0"/>
    <n v="6000"/>
    <x v="10"/>
  </r>
  <r>
    <n v="1636"/>
    <s v="23-08-2024"/>
    <x v="6"/>
    <x v="7"/>
    <x v="2"/>
    <x v="1"/>
    <n v="2"/>
    <n v="1500"/>
    <n v="0"/>
    <n v="3000"/>
    <x v="6"/>
  </r>
  <r>
    <n v="1637"/>
    <s v="10-06-2024"/>
    <x v="5"/>
    <x v="7"/>
    <x v="0"/>
    <x v="0"/>
    <n v="4"/>
    <n v="20000"/>
    <n v="0.15"/>
    <n v="68000"/>
    <x v="11"/>
  </r>
  <r>
    <n v="1638"/>
    <s v="30-07-2024"/>
    <x v="15"/>
    <x v="1"/>
    <x v="1"/>
    <x v="0"/>
    <n v="1"/>
    <n v="50000"/>
    <n v="0.15"/>
    <n v="42500"/>
    <x v="3"/>
  </r>
  <r>
    <n v="1639"/>
    <s v="17-09-2024"/>
    <x v="14"/>
    <x v="7"/>
    <x v="0"/>
    <x v="0"/>
    <n v="5"/>
    <n v="20000"/>
    <n v="0.1"/>
    <n v="90000"/>
    <x v="10"/>
  </r>
  <r>
    <n v="1640"/>
    <s v="24-04-2024"/>
    <x v="6"/>
    <x v="3"/>
    <x v="4"/>
    <x v="1"/>
    <n v="3"/>
    <n v="2000"/>
    <n v="0"/>
    <n v="6000"/>
    <x v="2"/>
  </r>
  <r>
    <n v="1641"/>
    <s v="28-02-2024"/>
    <x v="5"/>
    <x v="2"/>
    <x v="7"/>
    <x v="0"/>
    <n v="3"/>
    <n v="12000"/>
    <n v="0.15"/>
    <n v="30600"/>
    <x v="9"/>
  </r>
  <r>
    <n v="1642"/>
    <s v="20-11-2024"/>
    <x v="13"/>
    <x v="3"/>
    <x v="1"/>
    <x v="0"/>
    <n v="3"/>
    <n v="50000"/>
    <n v="0.1"/>
    <n v="135000"/>
    <x v="5"/>
  </r>
  <r>
    <n v="1643"/>
    <s v="09-09-2024"/>
    <x v="4"/>
    <x v="5"/>
    <x v="0"/>
    <x v="0"/>
    <n v="1"/>
    <n v="20000"/>
    <n v="0.05"/>
    <n v="19000"/>
    <x v="10"/>
  </r>
  <r>
    <n v="1644"/>
    <s v="06-04-2024"/>
    <x v="5"/>
    <x v="5"/>
    <x v="0"/>
    <x v="0"/>
    <n v="3"/>
    <n v="20000"/>
    <n v="0.05"/>
    <n v="57000"/>
    <x v="2"/>
  </r>
  <r>
    <n v="1645"/>
    <s v="22-06-2024"/>
    <x v="5"/>
    <x v="5"/>
    <x v="6"/>
    <x v="2"/>
    <n v="4"/>
    <n v="3000"/>
    <n v="0.05"/>
    <n v="11400"/>
    <x v="11"/>
  </r>
  <r>
    <n v="1646"/>
    <s v="18-08-2024"/>
    <x v="6"/>
    <x v="0"/>
    <x v="1"/>
    <x v="0"/>
    <n v="5"/>
    <n v="50000"/>
    <n v="0"/>
    <n v="250000"/>
    <x v="6"/>
  </r>
  <r>
    <n v="1647"/>
    <s v="10-10-2024"/>
    <x v="1"/>
    <x v="7"/>
    <x v="7"/>
    <x v="0"/>
    <n v="1"/>
    <n v="12000"/>
    <n v="0"/>
    <n v="12000"/>
    <x v="1"/>
  </r>
  <r>
    <n v="1648"/>
    <s v="06-03-2024"/>
    <x v="5"/>
    <x v="5"/>
    <x v="3"/>
    <x v="0"/>
    <n v="5"/>
    <n v="30000"/>
    <n v="0.05"/>
    <n v="142500"/>
    <x v="8"/>
  </r>
  <r>
    <n v="1649"/>
    <s v="02-08-2024"/>
    <x v="0"/>
    <x v="6"/>
    <x v="4"/>
    <x v="1"/>
    <n v="5"/>
    <n v="2000"/>
    <n v="0.15"/>
    <n v="8500"/>
    <x v="6"/>
  </r>
  <r>
    <n v="1650"/>
    <s v="19-08-2024"/>
    <x v="4"/>
    <x v="0"/>
    <x v="2"/>
    <x v="1"/>
    <n v="3"/>
    <n v="1500"/>
    <n v="0.1"/>
    <n v="4050"/>
    <x v="6"/>
  </r>
  <r>
    <n v="1651"/>
    <s v="25-12-2024"/>
    <x v="9"/>
    <x v="2"/>
    <x v="2"/>
    <x v="1"/>
    <n v="5"/>
    <n v="1500"/>
    <n v="0.1"/>
    <n v="6750"/>
    <x v="7"/>
  </r>
  <r>
    <n v="1652"/>
    <s v="17-12-2024"/>
    <x v="7"/>
    <x v="0"/>
    <x v="6"/>
    <x v="2"/>
    <n v="2"/>
    <n v="3000"/>
    <n v="0.1"/>
    <n v="5400"/>
    <x v="7"/>
  </r>
  <r>
    <n v="1653"/>
    <s v="29-12-2024"/>
    <x v="5"/>
    <x v="3"/>
    <x v="3"/>
    <x v="0"/>
    <n v="5"/>
    <n v="30000"/>
    <n v="0.1"/>
    <n v="135000"/>
    <x v="7"/>
  </r>
  <r>
    <n v="1654"/>
    <s v="11-12-2024"/>
    <x v="13"/>
    <x v="5"/>
    <x v="7"/>
    <x v="0"/>
    <n v="5"/>
    <n v="12000"/>
    <n v="0.15"/>
    <n v="51000"/>
    <x v="7"/>
  </r>
  <r>
    <n v="1655"/>
    <s v="13-01-2024"/>
    <x v="11"/>
    <x v="0"/>
    <x v="1"/>
    <x v="0"/>
    <n v="5"/>
    <n v="50000"/>
    <n v="0"/>
    <n v="250000"/>
    <x v="4"/>
  </r>
  <r>
    <n v="1656"/>
    <s v="16-05-2024"/>
    <x v="12"/>
    <x v="6"/>
    <x v="1"/>
    <x v="0"/>
    <n v="1"/>
    <n v="50000"/>
    <n v="0.05"/>
    <n v="47500"/>
    <x v="0"/>
  </r>
  <r>
    <n v="1657"/>
    <s v="19-12-2024"/>
    <x v="13"/>
    <x v="2"/>
    <x v="5"/>
    <x v="2"/>
    <n v="2"/>
    <n v="7000"/>
    <n v="0"/>
    <n v="14000"/>
    <x v="7"/>
  </r>
  <r>
    <n v="1658"/>
    <s v="22-02-2024"/>
    <x v="0"/>
    <x v="5"/>
    <x v="1"/>
    <x v="0"/>
    <n v="3"/>
    <n v="50000"/>
    <n v="0.15"/>
    <n v="127500"/>
    <x v="9"/>
  </r>
  <r>
    <n v="1659"/>
    <s v="20-12-2024"/>
    <x v="15"/>
    <x v="5"/>
    <x v="6"/>
    <x v="2"/>
    <n v="5"/>
    <n v="3000"/>
    <n v="0.1"/>
    <n v="13500"/>
    <x v="7"/>
  </r>
  <r>
    <n v="1660"/>
    <s v="09-10-2024"/>
    <x v="15"/>
    <x v="1"/>
    <x v="2"/>
    <x v="1"/>
    <n v="4"/>
    <n v="1500"/>
    <n v="0.1"/>
    <n v="5400"/>
    <x v="1"/>
  </r>
  <r>
    <n v="1661"/>
    <s v="25-04-2024"/>
    <x v="7"/>
    <x v="2"/>
    <x v="5"/>
    <x v="2"/>
    <n v="2"/>
    <n v="7000"/>
    <n v="0.15"/>
    <n v="11900"/>
    <x v="2"/>
  </r>
  <r>
    <n v="1662"/>
    <s v="31-03-2024"/>
    <x v="8"/>
    <x v="0"/>
    <x v="6"/>
    <x v="2"/>
    <n v="3"/>
    <n v="3000"/>
    <n v="0.15"/>
    <n v="7650"/>
    <x v="8"/>
  </r>
  <r>
    <n v="1663"/>
    <s v="12-07-2024"/>
    <x v="15"/>
    <x v="5"/>
    <x v="3"/>
    <x v="0"/>
    <n v="5"/>
    <n v="30000"/>
    <n v="0"/>
    <n v="150000"/>
    <x v="3"/>
  </r>
  <r>
    <n v="1664"/>
    <s v="07-03-2024"/>
    <x v="12"/>
    <x v="6"/>
    <x v="5"/>
    <x v="2"/>
    <n v="5"/>
    <n v="7000"/>
    <n v="0.1"/>
    <n v="31500"/>
    <x v="8"/>
  </r>
  <r>
    <n v="1665"/>
    <s v="29-12-2024"/>
    <x v="4"/>
    <x v="1"/>
    <x v="1"/>
    <x v="0"/>
    <n v="3"/>
    <n v="50000"/>
    <n v="0.15"/>
    <n v="127500"/>
    <x v="7"/>
  </r>
  <r>
    <n v="1666"/>
    <s v="16-11-2024"/>
    <x v="13"/>
    <x v="7"/>
    <x v="3"/>
    <x v="0"/>
    <n v="3"/>
    <n v="30000"/>
    <n v="0"/>
    <n v="90000"/>
    <x v="5"/>
  </r>
  <r>
    <n v="1667"/>
    <s v="26-09-2024"/>
    <x v="0"/>
    <x v="0"/>
    <x v="4"/>
    <x v="1"/>
    <n v="1"/>
    <n v="2000"/>
    <n v="0.1"/>
    <n v="1800"/>
    <x v="10"/>
  </r>
  <r>
    <n v="1668"/>
    <s v="31-07-2024"/>
    <x v="11"/>
    <x v="4"/>
    <x v="0"/>
    <x v="0"/>
    <n v="5"/>
    <n v="20000"/>
    <n v="0.05"/>
    <n v="95000"/>
    <x v="3"/>
  </r>
  <r>
    <n v="1669"/>
    <s v="05-12-2024"/>
    <x v="9"/>
    <x v="3"/>
    <x v="4"/>
    <x v="1"/>
    <n v="2"/>
    <n v="2000"/>
    <n v="0.05"/>
    <n v="3800"/>
    <x v="7"/>
  </r>
  <r>
    <n v="1670"/>
    <s v="12-11-2024"/>
    <x v="10"/>
    <x v="1"/>
    <x v="4"/>
    <x v="1"/>
    <n v="3"/>
    <n v="2000"/>
    <n v="0.05"/>
    <n v="5700"/>
    <x v="5"/>
  </r>
  <r>
    <n v="1671"/>
    <s v="03-05-2024"/>
    <x v="0"/>
    <x v="1"/>
    <x v="0"/>
    <x v="0"/>
    <n v="3"/>
    <n v="20000"/>
    <n v="0.15"/>
    <n v="51000"/>
    <x v="0"/>
  </r>
  <r>
    <n v="1672"/>
    <s v="16-07-2024"/>
    <x v="3"/>
    <x v="6"/>
    <x v="4"/>
    <x v="1"/>
    <n v="4"/>
    <n v="2000"/>
    <n v="0"/>
    <n v="8000"/>
    <x v="3"/>
  </r>
  <r>
    <n v="1673"/>
    <s v="20-09-2024"/>
    <x v="6"/>
    <x v="7"/>
    <x v="1"/>
    <x v="0"/>
    <n v="5"/>
    <n v="50000"/>
    <n v="0.1"/>
    <n v="225000"/>
    <x v="10"/>
  </r>
  <r>
    <n v="1674"/>
    <s v="13-06-2024"/>
    <x v="8"/>
    <x v="4"/>
    <x v="1"/>
    <x v="0"/>
    <n v="3"/>
    <n v="50000"/>
    <n v="0.05"/>
    <n v="142500"/>
    <x v="11"/>
  </r>
  <r>
    <n v="1675"/>
    <s v="16-11-2024"/>
    <x v="8"/>
    <x v="2"/>
    <x v="3"/>
    <x v="0"/>
    <n v="5"/>
    <n v="30000"/>
    <n v="0"/>
    <n v="150000"/>
    <x v="5"/>
  </r>
  <r>
    <n v="1676"/>
    <s v="15-04-2024"/>
    <x v="1"/>
    <x v="4"/>
    <x v="6"/>
    <x v="2"/>
    <n v="4"/>
    <n v="3000"/>
    <n v="0"/>
    <n v="12000"/>
    <x v="2"/>
  </r>
  <r>
    <n v="1677"/>
    <s v="18-06-2024"/>
    <x v="15"/>
    <x v="4"/>
    <x v="3"/>
    <x v="0"/>
    <n v="1"/>
    <n v="30000"/>
    <n v="0.15"/>
    <n v="25500"/>
    <x v="11"/>
  </r>
  <r>
    <n v="1678"/>
    <s v="08-05-2024"/>
    <x v="8"/>
    <x v="2"/>
    <x v="0"/>
    <x v="0"/>
    <n v="1"/>
    <n v="20000"/>
    <n v="0.05"/>
    <n v="19000"/>
    <x v="0"/>
  </r>
  <r>
    <n v="1679"/>
    <s v="18-08-2024"/>
    <x v="11"/>
    <x v="5"/>
    <x v="5"/>
    <x v="2"/>
    <n v="4"/>
    <n v="7000"/>
    <n v="0.15"/>
    <n v="23800"/>
    <x v="6"/>
  </r>
  <r>
    <n v="1680"/>
    <s v="10-12-2024"/>
    <x v="5"/>
    <x v="1"/>
    <x v="4"/>
    <x v="1"/>
    <n v="1"/>
    <n v="2000"/>
    <n v="0.15"/>
    <n v="1700"/>
    <x v="7"/>
  </r>
  <r>
    <n v="1681"/>
    <s v="24-12-2024"/>
    <x v="8"/>
    <x v="3"/>
    <x v="0"/>
    <x v="0"/>
    <n v="5"/>
    <n v="20000"/>
    <n v="0"/>
    <n v="100000"/>
    <x v="7"/>
  </r>
  <r>
    <n v="1682"/>
    <s v="06-11-2024"/>
    <x v="8"/>
    <x v="6"/>
    <x v="0"/>
    <x v="0"/>
    <n v="3"/>
    <n v="20000"/>
    <n v="0.1"/>
    <n v="54000"/>
    <x v="5"/>
  </r>
  <r>
    <n v="1683"/>
    <s v="04-12-2024"/>
    <x v="2"/>
    <x v="7"/>
    <x v="7"/>
    <x v="0"/>
    <n v="4"/>
    <n v="12000"/>
    <n v="0.15"/>
    <n v="40800"/>
    <x v="7"/>
  </r>
  <r>
    <n v="1684"/>
    <s v="10-03-2024"/>
    <x v="11"/>
    <x v="6"/>
    <x v="3"/>
    <x v="0"/>
    <n v="5"/>
    <n v="30000"/>
    <n v="0.05"/>
    <n v="142500"/>
    <x v="8"/>
  </r>
  <r>
    <n v="1685"/>
    <s v="06-01-2024"/>
    <x v="4"/>
    <x v="4"/>
    <x v="3"/>
    <x v="0"/>
    <n v="3"/>
    <n v="30000"/>
    <n v="0.1"/>
    <n v="81000"/>
    <x v="4"/>
  </r>
  <r>
    <n v="1686"/>
    <s v="02-10-2024"/>
    <x v="8"/>
    <x v="6"/>
    <x v="1"/>
    <x v="0"/>
    <n v="1"/>
    <n v="50000"/>
    <n v="0.15"/>
    <n v="42500"/>
    <x v="1"/>
  </r>
  <r>
    <n v="1687"/>
    <s v="30-07-2024"/>
    <x v="4"/>
    <x v="0"/>
    <x v="6"/>
    <x v="2"/>
    <n v="3"/>
    <n v="3000"/>
    <n v="0.05"/>
    <n v="8550"/>
    <x v="3"/>
  </r>
  <r>
    <n v="1688"/>
    <s v="09-04-2024"/>
    <x v="5"/>
    <x v="0"/>
    <x v="3"/>
    <x v="0"/>
    <n v="2"/>
    <n v="30000"/>
    <n v="0.1"/>
    <n v="54000"/>
    <x v="2"/>
  </r>
  <r>
    <n v="1689"/>
    <s v="26-11-2024"/>
    <x v="8"/>
    <x v="6"/>
    <x v="1"/>
    <x v="0"/>
    <n v="5"/>
    <n v="50000"/>
    <n v="0.15"/>
    <n v="212500"/>
    <x v="5"/>
  </r>
  <r>
    <n v="1690"/>
    <s v="11-04-2024"/>
    <x v="10"/>
    <x v="3"/>
    <x v="0"/>
    <x v="0"/>
    <n v="3"/>
    <n v="20000"/>
    <n v="0"/>
    <n v="60000"/>
    <x v="2"/>
  </r>
  <r>
    <n v="1691"/>
    <s v="21-02-2024"/>
    <x v="13"/>
    <x v="4"/>
    <x v="4"/>
    <x v="1"/>
    <n v="2"/>
    <n v="2000"/>
    <n v="0.05"/>
    <n v="3800"/>
    <x v="9"/>
  </r>
  <r>
    <n v="1692"/>
    <s v="18-08-2024"/>
    <x v="9"/>
    <x v="6"/>
    <x v="6"/>
    <x v="2"/>
    <n v="3"/>
    <n v="3000"/>
    <n v="0.15"/>
    <n v="7650"/>
    <x v="6"/>
  </r>
  <r>
    <n v="1693"/>
    <s v="10-06-2024"/>
    <x v="1"/>
    <x v="0"/>
    <x v="3"/>
    <x v="0"/>
    <n v="5"/>
    <n v="30000"/>
    <n v="0.1"/>
    <n v="135000"/>
    <x v="11"/>
  </r>
  <r>
    <n v="1694"/>
    <s v="23-04-2024"/>
    <x v="1"/>
    <x v="6"/>
    <x v="1"/>
    <x v="0"/>
    <n v="3"/>
    <n v="50000"/>
    <n v="0.05"/>
    <n v="142500"/>
    <x v="2"/>
  </r>
  <r>
    <n v="1695"/>
    <s v="02-09-2024"/>
    <x v="6"/>
    <x v="7"/>
    <x v="4"/>
    <x v="1"/>
    <n v="2"/>
    <n v="2000"/>
    <n v="0.1"/>
    <n v="3600"/>
    <x v="10"/>
  </r>
  <r>
    <n v="1696"/>
    <s v="09-10-2024"/>
    <x v="5"/>
    <x v="0"/>
    <x v="4"/>
    <x v="1"/>
    <n v="3"/>
    <n v="2000"/>
    <n v="0.15"/>
    <n v="5100"/>
    <x v="1"/>
  </r>
  <r>
    <n v="1697"/>
    <s v="02-10-2024"/>
    <x v="14"/>
    <x v="6"/>
    <x v="0"/>
    <x v="0"/>
    <n v="3"/>
    <n v="20000"/>
    <n v="0.05"/>
    <n v="57000"/>
    <x v="1"/>
  </r>
  <r>
    <n v="1698"/>
    <s v="16-09-2024"/>
    <x v="2"/>
    <x v="5"/>
    <x v="0"/>
    <x v="0"/>
    <n v="1"/>
    <n v="20000"/>
    <n v="0"/>
    <n v="20000"/>
    <x v="10"/>
  </r>
  <r>
    <n v="1699"/>
    <s v="05-10-2024"/>
    <x v="10"/>
    <x v="0"/>
    <x v="6"/>
    <x v="2"/>
    <n v="1"/>
    <n v="3000"/>
    <n v="0.1"/>
    <n v="2700"/>
    <x v="1"/>
  </r>
  <r>
    <n v="1700"/>
    <s v="28-10-2024"/>
    <x v="13"/>
    <x v="0"/>
    <x v="4"/>
    <x v="1"/>
    <n v="4"/>
    <n v="2000"/>
    <n v="0.05"/>
    <n v="7600"/>
    <x v="1"/>
  </r>
  <r>
    <n v="1701"/>
    <s v="22-07-2024"/>
    <x v="7"/>
    <x v="1"/>
    <x v="7"/>
    <x v="0"/>
    <n v="5"/>
    <n v="12000"/>
    <n v="0"/>
    <n v="60000"/>
    <x v="3"/>
  </r>
  <r>
    <n v="1702"/>
    <s v="20-09-2024"/>
    <x v="4"/>
    <x v="7"/>
    <x v="6"/>
    <x v="2"/>
    <n v="5"/>
    <n v="3000"/>
    <n v="0.05"/>
    <n v="14250"/>
    <x v="10"/>
  </r>
  <r>
    <n v="1703"/>
    <s v="04-09-2024"/>
    <x v="7"/>
    <x v="1"/>
    <x v="3"/>
    <x v="0"/>
    <n v="2"/>
    <n v="30000"/>
    <n v="0.05"/>
    <n v="57000"/>
    <x v="10"/>
  </r>
  <r>
    <n v="1704"/>
    <s v="02-02-2024"/>
    <x v="3"/>
    <x v="3"/>
    <x v="6"/>
    <x v="2"/>
    <n v="4"/>
    <n v="3000"/>
    <n v="0.05"/>
    <n v="11400"/>
    <x v="9"/>
  </r>
  <r>
    <n v="1705"/>
    <s v="22-09-2024"/>
    <x v="7"/>
    <x v="5"/>
    <x v="6"/>
    <x v="2"/>
    <n v="1"/>
    <n v="3000"/>
    <n v="0.05"/>
    <n v="2850"/>
    <x v="10"/>
  </r>
  <r>
    <n v="1706"/>
    <s v="21-01-2024"/>
    <x v="9"/>
    <x v="4"/>
    <x v="7"/>
    <x v="0"/>
    <n v="4"/>
    <n v="12000"/>
    <n v="0"/>
    <n v="48000"/>
    <x v="4"/>
  </r>
  <r>
    <n v="1707"/>
    <s v="11-07-2024"/>
    <x v="11"/>
    <x v="3"/>
    <x v="5"/>
    <x v="2"/>
    <n v="3"/>
    <n v="7000"/>
    <n v="0.05"/>
    <n v="19950"/>
    <x v="3"/>
  </r>
  <r>
    <n v="1708"/>
    <s v="11-07-2024"/>
    <x v="0"/>
    <x v="5"/>
    <x v="0"/>
    <x v="0"/>
    <n v="5"/>
    <n v="20000"/>
    <n v="0.1"/>
    <n v="90000"/>
    <x v="3"/>
  </r>
  <r>
    <n v="1709"/>
    <s v="03-09-2024"/>
    <x v="2"/>
    <x v="0"/>
    <x v="4"/>
    <x v="1"/>
    <n v="3"/>
    <n v="2000"/>
    <n v="0.15"/>
    <n v="5100"/>
    <x v="10"/>
  </r>
  <r>
    <n v="1710"/>
    <s v="09-02-2024"/>
    <x v="3"/>
    <x v="2"/>
    <x v="7"/>
    <x v="0"/>
    <n v="2"/>
    <n v="12000"/>
    <n v="0.05"/>
    <n v="22800"/>
    <x v="9"/>
  </r>
  <r>
    <n v="1711"/>
    <s v="04-07-2024"/>
    <x v="5"/>
    <x v="2"/>
    <x v="3"/>
    <x v="0"/>
    <n v="2"/>
    <n v="30000"/>
    <n v="0.05"/>
    <n v="57000"/>
    <x v="3"/>
  </r>
  <r>
    <n v="1712"/>
    <s v="03-09-2024"/>
    <x v="10"/>
    <x v="7"/>
    <x v="2"/>
    <x v="1"/>
    <n v="3"/>
    <n v="1500"/>
    <n v="0"/>
    <n v="4500"/>
    <x v="10"/>
  </r>
  <r>
    <n v="1713"/>
    <s v="27-11-2024"/>
    <x v="1"/>
    <x v="1"/>
    <x v="6"/>
    <x v="2"/>
    <n v="5"/>
    <n v="3000"/>
    <n v="0.05"/>
    <n v="14250"/>
    <x v="5"/>
  </r>
  <r>
    <n v="1714"/>
    <s v="20-10-2024"/>
    <x v="12"/>
    <x v="0"/>
    <x v="6"/>
    <x v="2"/>
    <n v="1"/>
    <n v="3000"/>
    <n v="0.05"/>
    <n v="2850"/>
    <x v="1"/>
  </r>
  <r>
    <n v="1715"/>
    <s v="29-01-2024"/>
    <x v="12"/>
    <x v="6"/>
    <x v="1"/>
    <x v="0"/>
    <n v="5"/>
    <n v="50000"/>
    <n v="0.05"/>
    <n v="237500"/>
    <x v="4"/>
  </r>
  <r>
    <n v="1716"/>
    <s v="02-11-2024"/>
    <x v="2"/>
    <x v="6"/>
    <x v="3"/>
    <x v="0"/>
    <n v="5"/>
    <n v="30000"/>
    <n v="0.15"/>
    <n v="127500"/>
    <x v="5"/>
  </r>
  <r>
    <n v="1717"/>
    <s v="06-11-2024"/>
    <x v="10"/>
    <x v="7"/>
    <x v="0"/>
    <x v="0"/>
    <n v="2"/>
    <n v="20000"/>
    <n v="0.15"/>
    <n v="34000"/>
    <x v="5"/>
  </r>
  <r>
    <n v="1718"/>
    <s v="03-11-2024"/>
    <x v="4"/>
    <x v="0"/>
    <x v="3"/>
    <x v="0"/>
    <n v="2"/>
    <n v="30000"/>
    <n v="0.15"/>
    <n v="51000"/>
    <x v="5"/>
  </r>
  <r>
    <n v="1719"/>
    <s v="20-08-2024"/>
    <x v="8"/>
    <x v="2"/>
    <x v="5"/>
    <x v="2"/>
    <n v="2"/>
    <n v="7000"/>
    <n v="0.1"/>
    <n v="12600"/>
    <x v="6"/>
  </r>
  <r>
    <n v="1720"/>
    <s v="25-02-2024"/>
    <x v="2"/>
    <x v="2"/>
    <x v="2"/>
    <x v="1"/>
    <n v="4"/>
    <n v="1500"/>
    <n v="0.05"/>
    <n v="5700"/>
    <x v="9"/>
  </r>
  <r>
    <n v="1721"/>
    <s v="31-03-2024"/>
    <x v="10"/>
    <x v="1"/>
    <x v="2"/>
    <x v="1"/>
    <n v="2"/>
    <n v="1500"/>
    <n v="0"/>
    <n v="3000"/>
    <x v="8"/>
  </r>
  <r>
    <n v="1722"/>
    <s v="03-12-2024"/>
    <x v="4"/>
    <x v="1"/>
    <x v="0"/>
    <x v="0"/>
    <n v="1"/>
    <n v="20000"/>
    <n v="0.15"/>
    <n v="17000"/>
    <x v="7"/>
  </r>
  <r>
    <n v="1723"/>
    <s v="08-07-2024"/>
    <x v="15"/>
    <x v="5"/>
    <x v="2"/>
    <x v="1"/>
    <n v="5"/>
    <n v="1500"/>
    <n v="0.15"/>
    <n v="6375"/>
    <x v="3"/>
  </r>
  <r>
    <n v="1724"/>
    <s v="28-06-2024"/>
    <x v="5"/>
    <x v="5"/>
    <x v="6"/>
    <x v="2"/>
    <n v="4"/>
    <n v="3000"/>
    <n v="0.15"/>
    <n v="10200"/>
    <x v="11"/>
  </r>
  <r>
    <n v="1725"/>
    <s v="29-04-2024"/>
    <x v="8"/>
    <x v="6"/>
    <x v="3"/>
    <x v="0"/>
    <n v="3"/>
    <n v="30000"/>
    <n v="0.15"/>
    <n v="76500"/>
    <x v="2"/>
  </r>
  <r>
    <n v="1726"/>
    <s v="03-01-2024"/>
    <x v="2"/>
    <x v="4"/>
    <x v="2"/>
    <x v="1"/>
    <n v="3"/>
    <n v="1500"/>
    <n v="0.05"/>
    <n v="4275"/>
    <x v="4"/>
  </r>
  <r>
    <n v="1727"/>
    <s v="18-12-2024"/>
    <x v="9"/>
    <x v="5"/>
    <x v="1"/>
    <x v="0"/>
    <n v="4"/>
    <n v="50000"/>
    <n v="0.05"/>
    <n v="190000"/>
    <x v="7"/>
  </r>
  <r>
    <n v="1728"/>
    <s v="06-08-2024"/>
    <x v="3"/>
    <x v="6"/>
    <x v="4"/>
    <x v="1"/>
    <n v="1"/>
    <n v="2000"/>
    <n v="0.05"/>
    <n v="1900"/>
    <x v="6"/>
  </r>
  <r>
    <n v="1729"/>
    <s v="09-11-2024"/>
    <x v="3"/>
    <x v="5"/>
    <x v="2"/>
    <x v="1"/>
    <n v="5"/>
    <n v="1500"/>
    <n v="0.1"/>
    <n v="6750"/>
    <x v="5"/>
  </r>
  <r>
    <n v="1730"/>
    <s v="01-04-2024"/>
    <x v="7"/>
    <x v="7"/>
    <x v="6"/>
    <x v="2"/>
    <n v="4"/>
    <n v="3000"/>
    <n v="0.15"/>
    <n v="10200"/>
    <x v="2"/>
  </r>
  <r>
    <n v="1731"/>
    <s v="27-12-2024"/>
    <x v="11"/>
    <x v="0"/>
    <x v="5"/>
    <x v="2"/>
    <n v="3"/>
    <n v="7000"/>
    <n v="0.1"/>
    <n v="18900"/>
    <x v="7"/>
  </r>
  <r>
    <n v="1732"/>
    <s v="24-12-2024"/>
    <x v="12"/>
    <x v="4"/>
    <x v="0"/>
    <x v="0"/>
    <n v="2"/>
    <n v="20000"/>
    <n v="0.15"/>
    <n v="34000"/>
    <x v="7"/>
  </r>
  <r>
    <n v="1733"/>
    <s v="22-06-2024"/>
    <x v="15"/>
    <x v="0"/>
    <x v="6"/>
    <x v="2"/>
    <n v="5"/>
    <n v="3000"/>
    <n v="0.15"/>
    <n v="12750"/>
    <x v="11"/>
  </r>
  <r>
    <n v="1734"/>
    <s v="15-03-2024"/>
    <x v="10"/>
    <x v="5"/>
    <x v="2"/>
    <x v="1"/>
    <n v="1"/>
    <n v="1500"/>
    <n v="0"/>
    <n v="1500"/>
    <x v="8"/>
  </r>
  <r>
    <n v="1735"/>
    <s v="23-04-2024"/>
    <x v="7"/>
    <x v="4"/>
    <x v="0"/>
    <x v="0"/>
    <n v="1"/>
    <n v="20000"/>
    <n v="0.1"/>
    <n v="18000"/>
    <x v="2"/>
  </r>
  <r>
    <n v="1736"/>
    <s v="10-11-2024"/>
    <x v="13"/>
    <x v="1"/>
    <x v="1"/>
    <x v="0"/>
    <n v="4"/>
    <n v="50000"/>
    <n v="0.15"/>
    <n v="170000"/>
    <x v="5"/>
  </r>
  <r>
    <n v="1737"/>
    <s v="06-01-2024"/>
    <x v="14"/>
    <x v="6"/>
    <x v="3"/>
    <x v="0"/>
    <n v="4"/>
    <n v="30000"/>
    <n v="0.15"/>
    <n v="102000"/>
    <x v="4"/>
  </r>
  <r>
    <n v="1738"/>
    <s v="10-11-2024"/>
    <x v="12"/>
    <x v="1"/>
    <x v="6"/>
    <x v="2"/>
    <n v="1"/>
    <n v="3000"/>
    <n v="0.05"/>
    <n v="2850"/>
    <x v="5"/>
  </r>
  <r>
    <n v="1739"/>
    <s v="21-03-2024"/>
    <x v="8"/>
    <x v="6"/>
    <x v="4"/>
    <x v="1"/>
    <n v="2"/>
    <n v="2000"/>
    <n v="0"/>
    <n v="4000"/>
    <x v="8"/>
  </r>
  <r>
    <n v="1740"/>
    <s v="26-07-2024"/>
    <x v="14"/>
    <x v="1"/>
    <x v="2"/>
    <x v="1"/>
    <n v="3"/>
    <n v="1500"/>
    <n v="0.15"/>
    <n v="3825"/>
    <x v="3"/>
  </r>
  <r>
    <n v="1741"/>
    <s v="13-10-2024"/>
    <x v="7"/>
    <x v="3"/>
    <x v="0"/>
    <x v="0"/>
    <n v="1"/>
    <n v="20000"/>
    <n v="0.1"/>
    <n v="18000"/>
    <x v="1"/>
  </r>
  <r>
    <n v="1742"/>
    <s v="20-08-2024"/>
    <x v="11"/>
    <x v="1"/>
    <x v="5"/>
    <x v="2"/>
    <n v="2"/>
    <n v="7000"/>
    <n v="0.05"/>
    <n v="13300"/>
    <x v="6"/>
  </r>
  <r>
    <n v="1743"/>
    <s v="16-09-2024"/>
    <x v="5"/>
    <x v="4"/>
    <x v="5"/>
    <x v="2"/>
    <n v="2"/>
    <n v="7000"/>
    <n v="0.15"/>
    <n v="11900"/>
    <x v="10"/>
  </r>
  <r>
    <n v="1744"/>
    <s v="19-09-2024"/>
    <x v="3"/>
    <x v="6"/>
    <x v="5"/>
    <x v="2"/>
    <n v="3"/>
    <n v="7000"/>
    <n v="0"/>
    <n v="21000"/>
    <x v="10"/>
  </r>
  <r>
    <n v="1745"/>
    <s v="04-05-2024"/>
    <x v="9"/>
    <x v="7"/>
    <x v="7"/>
    <x v="0"/>
    <n v="4"/>
    <n v="12000"/>
    <n v="0.15"/>
    <n v="40800"/>
    <x v="0"/>
  </r>
  <r>
    <n v="1746"/>
    <s v="03-09-2024"/>
    <x v="5"/>
    <x v="6"/>
    <x v="7"/>
    <x v="0"/>
    <n v="5"/>
    <n v="12000"/>
    <n v="0"/>
    <n v="60000"/>
    <x v="10"/>
  </r>
  <r>
    <n v="1747"/>
    <s v="12-12-2024"/>
    <x v="0"/>
    <x v="3"/>
    <x v="0"/>
    <x v="0"/>
    <n v="4"/>
    <n v="20000"/>
    <n v="0.05"/>
    <n v="76000"/>
    <x v="7"/>
  </r>
  <r>
    <n v="1748"/>
    <s v="24-12-2024"/>
    <x v="3"/>
    <x v="2"/>
    <x v="2"/>
    <x v="1"/>
    <n v="3"/>
    <n v="1500"/>
    <n v="0"/>
    <n v="4500"/>
    <x v="7"/>
  </r>
  <r>
    <n v="1749"/>
    <s v="10-12-2024"/>
    <x v="9"/>
    <x v="4"/>
    <x v="5"/>
    <x v="2"/>
    <n v="1"/>
    <n v="7000"/>
    <n v="0.15"/>
    <n v="5950"/>
    <x v="7"/>
  </r>
  <r>
    <n v="1750"/>
    <s v="30-06-2024"/>
    <x v="14"/>
    <x v="6"/>
    <x v="3"/>
    <x v="0"/>
    <n v="4"/>
    <n v="30000"/>
    <n v="0.1"/>
    <n v="108000"/>
    <x v="11"/>
  </r>
  <r>
    <n v="1751"/>
    <s v="12-04-2024"/>
    <x v="0"/>
    <x v="2"/>
    <x v="3"/>
    <x v="0"/>
    <n v="2"/>
    <n v="30000"/>
    <n v="0.15"/>
    <n v="51000"/>
    <x v="2"/>
  </r>
  <r>
    <n v="1752"/>
    <s v="13-04-2024"/>
    <x v="0"/>
    <x v="3"/>
    <x v="5"/>
    <x v="2"/>
    <n v="2"/>
    <n v="7000"/>
    <n v="0.05"/>
    <n v="13300"/>
    <x v="2"/>
  </r>
  <r>
    <n v="1753"/>
    <s v="10-02-2024"/>
    <x v="10"/>
    <x v="1"/>
    <x v="3"/>
    <x v="0"/>
    <n v="1"/>
    <n v="30000"/>
    <n v="0"/>
    <n v="30000"/>
    <x v="9"/>
  </r>
  <r>
    <n v="1754"/>
    <s v="13-11-2024"/>
    <x v="9"/>
    <x v="7"/>
    <x v="1"/>
    <x v="0"/>
    <n v="4"/>
    <n v="50000"/>
    <n v="0.1"/>
    <n v="180000"/>
    <x v="5"/>
  </r>
  <r>
    <n v="1755"/>
    <s v="18-09-2024"/>
    <x v="3"/>
    <x v="5"/>
    <x v="5"/>
    <x v="2"/>
    <n v="4"/>
    <n v="7000"/>
    <n v="0.05"/>
    <n v="26600"/>
    <x v="10"/>
  </r>
  <r>
    <n v="1756"/>
    <s v="28-01-2024"/>
    <x v="1"/>
    <x v="7"/>
    <x v="6"/>
    <x v="2"/>
    <n v="5"/>
    <n v="3000"/>
    <n v="0.05"/>
    <n v="14250"/>
    <x v="4"/>
  </r>
  <r>
    <n v="1757"/>
    <s v="20-07-2024"/>
    <x v="12"/>
    <x v="7"/>
    <x v="1"/>
    <x v="0"/>
    <n v="5"/>
    <n v="50000"/>
    <n v="0.1"/>
    <n v="225000"/>
    <x v="3"/>
  </r>
  <r>
    <n v="1758"/>
    <s v="10-06-2024"/>
    <x v="2"/>
    <x v="1"/>
    <x v="0"/>
    <x v="0"/>
    <n v="5"/>
    <n v="20000"/>
    <n v="0.15"/>
    <n v="85000"/>
    <x v="11"/>
  </r>
  <r>
    <n v="1759"/>
    <s v="15-06-2024"/>
    <x v="7"/>
    <x v="6"/>
    <x v="6"/>
    <x v="2"/>
    <n v="4"/>
    <n v="3000"/>
    <n v="0"/>
    <n v="12000"/>
    <x v="11"/>
  </r>
  <r>
    <n v="1760"/>
    <s v="01-05-2024"/>
    <x v="3"/>
    <x v="7"/>
    <x v="3"/>
    <x v="0"/>
    <n v="5"/>
    <n v="30000"/>
    <n v="0.1"/>
    <n v="135000"/>
    <x v="0"/>
  </r>
  <r>
    <n v="1761"/>
    <s v="12-09-2024"/>
    <x v="1"/>
    <x v="2"/>
    <x v="4"/>
    <x v="1"/>
    <n v="3"/>
    <n v="2000"/>
    <n v="0.05"/>
    <n v="5700"/>
    <x v="10"/>
  </r>
  <r>
    <n v="1762"/>
    <s v="24-07-2024"/>
    <x v="3"/>
    <x v="7"/>
    <x v="2"/>
    <x v="1"/>
    <n v="3"/>
    <n v="1500"/>
    <n v="0.1"/>
    <n v="4050"/>
    <x v="3"/>
  </r>
  <r>
    <n v="1763"/>
    <s v="21-10-2024"/>
    <x v="0"/>
    <x v="4"/>
    <x v="3"/>
    <x v="0"/>
    <n v="5"/>
    <n v="30000"/>
    <n v="0.05"/>
    <n v="142500"/>
    <x v="1"/>
  </r>
  <r>
    <n v="1764"/>
    <s v="14-07-2024"/>
    <x v="14"/>
    <x v="0"/>
    <x v="5"/>
    <x v="2"/>
    <n v="2"/>
    <n v="7000"/>
    <n v="0.15"/>
    <n v="11900"/>
    <x v="3"/>
  </r>
  <r>
    <n v="1765"/>
    <s v="31-03-2024"/>
    <x v="1"/>
    <x v="7"/>
    <x v="3"/>
    <x v="0"/>
    <n v="4"/>
    <n v="30000"/>
    <n v="0"/>
    <n v="120000"/>
    <x v="8"/>
  </r>
  <r>
    <n v="1766"/>
    <s v="06-09-2024"/>
    <x v="13"/>
    <x v="6"/>
    <x v="3"/>
    <x v="0"/>
    <n v="5"/>
    <n v="30000"/>
    <n v="0.1"/>
    <n v="135000"/>
    <x v="10"/>
  </r>
  <r>
    <n v="1767"/>
    <s v="19-12-2024"/>
    <x v="12"/>
    <x v="1"/>
    <x v="1"/>
    <x v="0"/>
    <n v="4"/>
    <n v="50000"/>
    <n v="0"/>
    <n v="200000"/>
    <x v="7"/>
  </r>
  <r>
    <n v="1768"/>
    <s v="18-11-2024"/>
    <x v="5"/>
    <x v="7"/>
    <x v="6"/>
    <x v="2"/>
    <n v="3"/>
    <n v="3000"/>
    <n v="0.15"/>
    <n v="7650"/>
    <x v="5"/>
  </r>
  <r>
    <n v="1769"/>
    <s v="03-07-2024"/>
    <x v="3"/>
    <x v="3"/>
    <x v="4"/>
    <x v="1"/>
    <n v="3"/>
    <n v="2000"/>
    <n v="0.1"/>
    <n v="5400"/>
    <x v="3"/>
  </r>
  <r>
    <n v="1770"/>
    <s v="28-06-2024"/>
    <x v="14"/>
    <x v="0"/>
    <x v="1"/>
    <x v="0"/>
    <n v="4"/>
    <n v="50000"/>
    <n v="0"/>
    <n v="200000"/>
    <x v="11"/>
  </r>
  <r>
    <n v="1771"/>
    <s v="10-12-2024"/>
    <x v="10"/>
    <x v="7"/>
    <x v="5"/>
    <x v="2"/>
    <n v="3"/>
    <n v="7000"/>
    <n v="0.1"/>
    <n v="18900"/>
    <x v="7"/>
  </r>
  <r>
    <n v="1772"/>
    <s v="25-08-2024"/>
    <x v="4"/>
    <x v="0"/>
    <x v="0"/>
    <x v="0"/>
    <n v="4"/>
    <n v="20000"/>
    <n v="0.1"/>
    <n v="72000"/>
    <x v="6"/>
  </r>
  <r>
    <n v="1773"/>
    <s v="06-02-2024"/>
    <x v="8"/>
    <x v="0"/>
    <x v="4"/>
    <x v="1"/>
    <n v="4"/>
    <n v="2000"/>
    <n v="0.15"/>
    <n v="6800"/>
    <x v="9"/>
  </r>
  <r>
    <n v="1774"/>
    <s v="11-06-2024"/>
    <x v="13"/>
    <x v="6"/>
    <x v="4"/>
    <x v="1"/>
    <n v="2"/>
    <n v="2000"/>
    <n v="0.1"/>
    <n v="3600"/>
    <x v="11"/>
  </r>
  <r>
    <n v="1775"/>
    <s v="04-07-2024"/>
    <x v="6"/>
    <x v="5"/>
    <x v="2"/>
    <x v="1"/>
    <n v="3"/>
    <n v="1500"/>
    <n v="0.15"/>
    <n v="3825"/>
    <x v="3"/>
  </r>
  <r>
    <n v="1776"/>
    <s v="05-03-2024"/>
    <x v="0"/>
    <x v="6"/>
    <x v="3"/>
    <x v="0"/>
    <n v="2"/>
    <n v="30000"/>
    <n v="0"/>
    <n v="60000"/>
    <x v="8"/>
  </r>
  <r>
    <n v="1777"/>
    <s v="22-07-2024"/>
    <x v="5"/>
    <x v="4"/>
    <x v="0"/>
    <x v="0"/>
    <n v="2"/>
    <n v="20000"/>
    <n v="0.05"/>
    <n v="38000"/>
    <x v="3"/>
  </r>
  <r>
    <n v="1778"/>
    <s v="14-01-2024"/>
    <x v="11"/>
    <x v="4"/>
    <x v="0"/>
    <x v="0"/>
    <n v="4"/>
    <n v="20000"/>
    <n v="0"/>
    <n v="80000"/>
    <x v="4"/>
  </r>
  <r>
    <n v="1779"/>
    <s v="13-02-2024"/>
    <x v="11"/>
    <x v="6"/>
    <x v="0"/>
    <x v="0"/>
    <n v="3"/>
    <n v="20000"/>
    <n v="0.05"/>
    <n v="57000"/>
    <x v="9"/>
  </r>
  <r>
    <n v="1780"/>
    <s v="14-08-2024"/>
    <x v="4"/>
    <x v="0"/>
    <x v="6"/>
    <x v="2"/>
    <n v="2"/>
    <n v="3000"/>
    <n v="0.1"/>
    <n v="5400"/>
    <x v="6"/>
  </r>
  <r>
    <n v="1781"/>
    <s v="05-12-2024"/>
    <x v="7"/>
    <x v="3"/>
    <x v="3"/>
    <x v="0"/>
    <n v="1"/>
    <n v="30000"/>
    <n v="0"/>
    <n v="30000"/>
    <x v="7"/>
  </r>
  <r>
    <n v="1782"/>
    <s v="07-10-2024"/>
    <x v="6"/>
    <x v="0"/>
    <x v="7"/>
    <x v="0"/>
    <n v="4"/>
    <n v="12000"/>
    <n v="0.1"/>
    <n v="43200"/>
    <x v="1"/>
  </r>
  <r>
    <n v="1783"/>
    <s v="19-11-2024"/>
    <x v="1"/>
    <x v="6"/>
    <x v="3"/>
    <x v="0"/>
    <n v="5"/>
    <n v="30000"/>
    <n v="0.15"/>
    <n v="127500"/>
    <x v="5"/>
  </r>
  <r>
    <n v="1784"/>
    <s v="15-02-2024"/>
    <x v="6"/>
    <x v="6"/>
    <x v="4"/>
    <x v="1"/>
    <n v="4"/>
    <n v="2000"/>
    <n v="0.05"/>
    <n v="7600"/>
    <x v="9"/>
  </r>
  <r>
    <n v="1785"/>
    <s v="20-03-2024"/>
    <x v="13"/>
    <x v="1"/>
    <x v="4"/>
    <x v="1"/>
    <n v="4"/>
    <n v="2000"/>
    <n v="0.1"/>
    <n v="7200"/>
    <x v="8"/>
  </r>
  <r>
    <n v="1786"/>
    <s v="25-06-2024"/>
    <x v="13"/>
    <x v="7"/>
    <x v="1"/>
    <x v="0"/>
    <n v="5"/>
    <n v="50000"/>
    <n v="0.05"/>
    <n v="237500"/>
    <x v="11"/>
  </r>
  <r>
    <n v="1787"/>
    <s v="02-06-2024"/>
    <x v="2"/>
    <x v="5"/>
    <x v="1"/>
    <x v="0"/>
    <n v="4"/>
    <n v="50000"/>
    <n v="0.15"/>
    <n v="170000"/>
    <x v="11"/>
  </r>
  <r>
    <n v="1788"/>
    <s v="04-01-2024"/>
    <x v="7"/>
    <x v="2"/>
    <x v="5"/>
    <x v="2"/>
    <n v="5"/>
    <n v="7000"/>
    <n v="0.05"/>
    <n v="33250"/>
    <x v="4"/>
  </r>
  <r>
    <n v="1789"/>
    <s v="21-07-2024"/>
    <x v="0"/>
    <x v="0"/>
    <x v="2"/>
    <x v="1"/>
    <n v="5"/>
    <n v="1500"/>
    <n v="0.15"/>
    <n v="6375"/>
    <x v="3"/>
  </r>
  <r>
    <n v="1790"/>
    <s v="14-05-2024"/>
    <x v="8"/>
    <x v="5"/>
    <x v="2"/>
    <x v="1"/>
    <n v="4"/>
    <n v="1500"/>
    <n v="0.05"/>
    <n v="5700"/>
    <x v="0"/>
  </r>
  <r>
    <n v="1791"/>
    <s v="25-05-2024"/>
    <x v="3"/>
    <x v="5"/>
    <x v="6"/>
    <x v="2"/>
    <n v="5"/>
    <n v="3000"/>
    <n v="0.1"/>
    <n v="13500"/>
    <x v="0"/>
  </r>
  <r>
    <n v="1792"/>
    <s v="10-03-2024"/>
    <x v="13"/>
    <x v="4"/>
    <x v="6"/>
    <x v="2"/>
    <n v="1"/>
    <n v="3000"/>
    <n v="0.05"/>
    <n v="2850"/>
    <x v="8"/>
  </r>
  <r>
    <n v="1793"/>
    <s v="19-05-2024"/>
    <x v="10"/>
    <x v="2"/>
    <x v="7"/>
    <x v="0"/>
    <n v="5"/>
    <n v="12000"/>
    <n v="0.15"/>
    <n v="51000"/>
    <x v="0"/>
  </r>
  <r>
    <n v="1794"/>
    <s v="26-01-2024"/>
    <x v="2"/>
    <x v="0"/>
    <x v="4"/>
    <x v="1"/>
    <n v="1"/>
    <n v="2000"/>
    <n v="0.05"/>
    <n v="1900"/>
    <x v="4"/>
  </r>
  <r>
    <n v="1795"/>
    <s v="05-03-2024"/>
    <x v="6"/>
    <x v="1"/>
    <x v="0"/>
    <x v="0"/>
    <n v="3"/>
    <n v="20000"/>
    <n v="0.1"/>
    <n v="54000"/>
    <x v="8"/>
  </r>
  <r>
    <n v="1796"/>
    <s v="08-01-2024"/>
    <x v="10"/>
    <x v="2"/>
    <x v="6"/>
    <x v="2"/>
    <n v="1"/>
    <n v="3000"/>
    <n v="0.05"/>
    <n v="2850"/>
    <x v="4"/>
  </r>
  <r>
    <n v="1797"/>
    <s v="12-09-2024"/>
    <x v="7"/>
    <x v="7"/>
    <x v="4"/>
    <x v="1"/>
    <n v="4"/>
    <n v="2000"/>
    <n v="0.1"/>
    <n v="7200"/>
    <x v="10"/>
  </r>
  <r>
    <n v="1798"/>
    <s v="15-03-2024"/>
    <x v="15"/>
    <x v="6"/>
    <x v="1"/>
    <x v="0"/>
    <n v="3"/>
    <n v="50000"/>
    <n v="0"/>
    <n v="150000"/>
    <x v="8"/>
  </r>
  <r>
    <n v="1799"/>
    <s v="02-04-2024"/>
    <x v="14"/>
    <x v="6"/>
    <x v="2"/>
    <x v="1"/>
    <n v="1"/>
    <n v="1500"/>
    <n v="0.15"/>
    <n v="1275"/>
    <x v="2"/>
  </r>
  <r>
    <n v="1800"/>
    <s v="07-05-2024"/>
    <x v="11"/>
    <x v="7"/>
    <x v="2"/>
    <x v="1"/>
    <n v="1"/>
    <n v="1500"/>
    <n v="0"/>
    <n v="1500"/>
    <x v="0"/>
  </r>
  <r>
    <n v="1801"/>
    <s v="23-08-2024"/>
    <x v="5"/>
    <x v="2"/>
    <x v="6"/>
    <x v="2"/>
    <n v="1"/>
    <n v="3000"/>
    <n v="0.05"/>
    <n v="2850"/>
    <x v="6"/>
  </r>
  <r>
    <n v="1802"/>
    <s v="14-06-2024"/>
    <x v="12"/>
    <x v="1"/>
    <x v="7"/>
    <x v="0"/>
    <n v="4"/>
    <n v="12000"/>
    <n v="0.1"/>
    <n v="43200"/>
    <x v="11"/>
  </r>
  <r>
    <n v="1803"/>
    <s v="22-11-2024"/>
    <x v="13"/>
    <x v="2"/>
    <x v="0"/>
    <x v="0"/>
    <n v="3"/>
    <n v="20000"/>
    <n v="0.15"/>
    <n v="51000"/>
    <x v="5"/>
  </r>
  <r>
    <n v="1804"/>
    <s v="27-02-2024"/>
    <x v="0"/>
    <x v="5"/>
    <x v="4"/>
    <x v="1"/>
    <n v="1"/>
    <n v="2000"/>
    <n v="0.05"/>
    <n v="1900"/>
    <x v="9"/>
  </r>
  <r>
    <n v="1805"/>
    <s v="21-05-2024"/>
    <x v="5"/>
    <x v="5"/>
    <x v="4"/>
    <x v="1"/>
    <n v="1"/>
    <n v="2000"/>
    <n v="0.05"/>
    <n v="1900"/>
    <x v="0"/>
  </r>
  <r>
    <n v="1806"/>
    <s v="24-10-2024"/>
    <x v="10"/>
    <x v="0"/>
    <x v="6"/>
    <x v="2"/>
    <n v="1"/>
    <n v="3000"/>
    <n v="0"/>
    <n v="3000"/>
    <x v="1"/>
  </r>
  <r>
    <n v="1807"/>
    <s v="21-03-2024"/>
    <x v="10"/>
    <x v="4"/>
    <x v="4"/>
    <x v="1"/>
    <n v="1"/>
    <n v="2000"/>
    <n v="0.05"/>
    <n v="1900"/>
    <x v="8"/>
  </r>
  <r>
    <n v="1808"/>
    <s v="01-07-2024"/>
    <x v="4"/>
    <x v="4"/>
    <x v="4"/>
    <x v="1"/>
    <n v="1"/>
    <n v="2000"/>
    <n v="0"/>
    <n v="2000"/>
    <x v="3"/>
  </r>
  <r>
    <n v="1809"/>
    <s v="11-06-2024"/>
    <x v="7"/>
    <x v="7"/>
    <x v="3"/>
    <x v="0"/>
    <n v="4"/>
    <n v="30000"/>
    <n v="0.05"/>
    <n v="114000"/>
    <x v="11"/>
  </r>
  <r>
    <n v="1810"/>
    <s v="02-07-2024"/>
    <x v="4"/>
    <x v="6"/>
    <x v="6"/>
    <x v="2"/>
    <n v="1"/>
    <n v="3000"/>
    <n v="0.15"/>
    <n v="2550"/>
    <x v="3"/>
  </r>
  <r>
    <n v="1811"/>
    <s v="13-10-2024"/>
    <x v="13"/>
    <x v="7"/>
    <x v="1"/>
    <x v="0"/>
    <n v="4"/>
    <n v="50000"/>
    <n v="0.15"/>
    <n v="170000"/>
    <x v="1"/>
  </r>
  <r>
    <n v="1812"/>
    <s v="05-10-2024"/>
    <x v="7"/>
    <x v="3"/>
    <x v="6"/>
    <x v="2"/>
    <n v="5"/>
    <n v="3000"/>
    <n v="0.05"/>
    <n v="14250"/>
    <x v="1"/>
  </r>
  <r>
    <n v="1813"/>
    <s v="05-02-2024"/>
    <x v="4"/>
    <x v="7"/>
    <x v="7"/>
    <x v="0"/>
    <n v="3"/>
    <n v="12000"/>
    <n v="0.05"/>
    <n v="34200"/>
    <x v="9"/>
  </r>
  <r>
    <n v="1814"/>
    <s v="20-08-2024"/>
    <x v="2"/>
    <x v="5"/>
    <x v="5"/>
    <x v="2"/>
    <n v="3"/>
    <n v="7000"/>
    <n v="0.1"/>
    <n v="18900"/>
    <x v="6"/>
  </r>
  <r>
    <n v="1815"/>
    <s v="13-11-2024"/>
    <x v="0"/>
    <x v="3"/>
    <x v="3"/>
    <x v="0"/>
    <n v="1"/>
    <n v="30000"/>
    <n v="0.1"/>
    <n v="27000"/>
    <x v="5"/>
  </r>
  <r>
    <n v="1816"/>
    <s v="07-04-2024"/>
    <x v="10"/>
    <x v="0"/>
    <x v="0"/>
    <x v="0"/>
    <n v="5"/>
    <n v="20000"/>
    <n v="0.15"/>
    <n v="85000"/>
    <x v="2"/>
  </r>
  <r>
    <n v="1817"/>
    <s v="24-11-2024"/>
    <x v="9"/>
    <x v="4"/>
    <x v="5"/>
    <x v="2"/>
    <n v="3"/>
    <n v="7000"/>
    <n v="0.15"/>
    <n v="17850"/>
    <x v="5"/>
  </r>
  <r>
    <n v="1818"/>
    <s v="23-01-2024"/>
    <x v="4"/>
    <x v="0"/>
    <x v="0"/>
    <x v="0"/>
    <n v="5"/>
    <n v="20000"/>
    <n v="0"/>
    <n v="100000"/>
    <x v="4"/>
  </r>
  <r>
    <n v="1819"/>
    <s v="05-09-2024"/>
    <x v="14"/>
    <x v="4"/>
    <x v="1"/>
    <x v="0"/>
    <n v="2"/>
    <n v="50000"/>
    <n v="0"/>
    <n v="100000"/>
    <x v="10"/>
  </r>
  <r>
    <n v="1820"/>
    <s v="02-12-2024"/>
    <x v="10"/>
    <x v="6"/>
    <x v="1"/>
    <x v="0"/>
    <n v="5"/>
    <n v="50000"/>
    <n v="0.15"/>
    <n v="212500"/>
    <x v="7"/>
  </r>
  <r>
    <n v="1821"/>
    <s v="06-11-2024"/>
    <x v="8"/>
    <x v="1"/>
    <x v="1"/>
    <x v="0"/>
    <n v="3"/>
    <n v="50000"/>
    <n v="0.05"/>
    <n v="142500"/>
    <x v="5"/>
  </r>
  <r>
    <n v="1822"/>
    <s v="27-08-2024"/>
    <x v="15"/>
    <x v="3"/>
    <x v="6"/>
    <x v="2"/>
    <n v="4"/>
    <n v="3000"/>
    <n v="0"/>
    <n v="12000"/>
    <x v="6"/>
  </r>
  <r>
    <n v="1823"/>
    <s v="11-11-2024"/>
    <x v="3"/>
    <x v="1"/>
    <x v="2"/>
    <x v="1"/>
    <n v="3"/>
    <n v="1500"/>
    <n v="0"/>
    <n v="4500"/>
    <x v="5"/>
  </r>
  <r>
    <n v="1824"/>
    <s v="20-04-2024"/>
    <x v="5"/>
    <x v="4"/>
    <x v="0"/>
    <x v="0"/>
    <n v="3"/>
    <n v="20000"/>
    <n v="0"/>
    <n v="60000"/>
    <x v="2"/>
  </r>
  <r>
    <n v="1825"/>
    <s v="07-04-2024"/>
    <x v="14"/>
    <x v="2"/>
    <x v="6"/>
    <x v="2"/>
    <n v="5"/>
    <n v="3000"/>
    <n v="0.15"/>
    <n v="12750"/>
    <x v="2"/>
  </r>
  <r>
    <n v="1826"/>
    <s v="24-02-2024"/>
    <x v="7"/>
    <x v="7"/>
    <x v="3"/>
    <x v="0"/>
    <n v="5"/>
    <n v="30000"/>
    <n v="0.15"/>
    <n v="127500"/>
    <x v="9"/>
  </r>
  <r>
    <n v="1827"/>
    <s v="02-04-2024"/>
    <x v="11"/>
    <x v="3"/>
    <x v="2"/>
    <x v="1"/>
    <n v="1"/>
    <n v="1500"/>
    <n v="0.05"/>
    <n v="1425"/>
    <x v="2"/>
  </r>
  <r>
    <n v="1828"/>
    <s v="29-06-2024"/>
    <x v="9"/>
    <x v="3"/>
    <x v="3"/>
    <x v="0"/>
    <n v="5"/>
    <n v="30000"/>
    <n v="0.15"/>
    <n v="127500"/>
    <x v="11"/>
  </r>
  <r>
    <n v="1829"/>
    <s v="14-06-2024"/>
    <x v="0"/>
    <x v="2"/>
    <x v="4"/>
    <x v="1"/>
    <n v="4"/>
    <n v="2000"/>
    <n v="0.15"/>
    <n v="6800"/>
    <x v="11"/>
  </r>
  <r>
    <n v="1830"/>
    <s v="03-07-2024"/>
    <x v="6"/>
    <x v="7"/>
    <x v="2"/>
    <x v="1"/>
    <n v="5"/>
    <n v="1500"/>
    <n v="0.1"/>
    <n v="6750"/>
    <x v="3"/>
  </r>
  <r>
    <n v="1831"/>
    <s v="25-05-2024"/>
    <x v="2"/>
    <x v="0"/>
    <x v="2"/>
    <x v="1"/>
    <n v="1"/>
    <n v="1500"/>
    <n v="0"/>
    <n v="1500"/>
    <x v="0"/>
  </r>
  <r>
    <n v="1832"/>
    <s v="23-04-2024"/>
    <x v="14"/>
    <x v="3"/>
    <x v="5"/>
    <x v="2"/>
    <n v="1"/>
    <n v="7000"/>
    <n v="0.1"/>
    <n v="6300"/>
    <x v="2"/>
  </r>
  <r>
    <n v="1833"/>
    <s v="18-02-2024"/>
    <x v="15"/>
    <x v="7"/>
    <x v="1"/>
    <x v="0"/>
    <n v="3"/>
    <n v="50000"/>
    <n v="0.05"/>
    <n v="142500"/>
    <x v="9"/>
  </r>
  <r>
    <n v="1834"/>
    <s v="15-05-2024"/>
    <x v="7"/>
    <x v="2"/>
    <x v="4"/>
    <x v="1"/>
    <n v="2"/>
    <n v="2000"/>
    <n v="0.05"/>
    <n v="3800"/>
    <x v="0"/>
  </r>
  <r>
    <n v="1835"/>
    <s v="17-02-2024"/>
    <x v="11"/>
    <x v="2"/>
    <x v="6"/>
    <x v="2"/>
    <n v="3"/>
    <n v="3000"/>
    <n v="0.1"/>
    <n v="8100"/>
    <x v="9"/>
  </r>
  <r>
    <n v="1836"/>
    <s v="29-03-2024"/>
    <x v="10"/>
    <x v="4"/>
    <x v="0"/>
    <x v="0"/>
    <n v="3"/>
    <n v="20000"/>
    <n v="0.15"/>
    <n v="51000"/>
    <x v="8"/>
  </r>
  <r>
    <n v="1837"/>
    <s v="10-02-2024"/>
    <x v="15"/>
    <x v="3"/>
    <x v="5"/>
    <x v="2"/>
    <n v="1"/>
    <n v="7000"/>
    <n v="0.15"/>
    <n v="5950"/>
    <x v="9"/>
  </r>
  <r>
    <n v="1838"/>
    <s v="02-03-2024"/>
    <x v="0"/>
    <x v="1"/>
    <x v="4"/>
    <x v="1"/>
    <n v="4"/>
    <n v="2000"/>
    <n v="0.15"/>
    <n v="6800"/>
    <x v="8"/>
  </r>
  <r>
    <n v="1839"/>
    <s v="25-09-2024"/>
    <x v="15"/>
    <x v="3"/>
    <x v="2"/>
    <x v="1"/>
    <n v="1"/>
    <n v="1500"/>
    <n v="0.1"/>
    <n v="1350"/>
    <x v="10"/>
  </r>
  <r>
    <n v="1840"/>
    <s v="19-03-2024"/>
    <x v="15"/>
    <x v="5"/>
    <x v="3"/>
    <x v="0"/>
    <n v="3"/>
    <n v="30000"/>
    <n v="0.05"/>
    <n v="85500"/>
    <x v="8"/>
  </r>
  <r>
    <n v="1841"/>
    <s v="23-04-2024"/>
    <x v="1"/>
    <x v="6"/>
    <x v="7"/>
    <x v="0"/>
    <n v="5"/>
    <n v="12000"/>
    <n v="0"/>
    <n v="60000"/>
    <x v="2"/>
  </r>
  <r>
    <n v="1842"/>
    <s v="21-06-2024"/>
    <x v="8"/>
    <x v="7"/>
    <x v="2"/>
    <x v="1"/>
    <n v="2"/>
    <n v="1500"/>
    <n v="0.05"/>
    <n v="2850"/>
    <x v="11"/>
  </r>
  <r>
    <n v="1843"/>
    <s v="14-05-2024"/>
    <x v="8"/>
    <x v="5"/>
    <x v="1"/>
    <x v="0"/>
    <n v="5"/>
    <n v="50000"/>
    <n v="0.15"/>
    <n v="212500"/>
    <x v="0"/>
  </r>
  <r>
    <n v="1844"/>
    <s v="03-09-2024"/>
    <x v="14"/>
    <x v="7"/>
    <x v="2"/>
    <x v="1"/>
    <n v="2"/>
    <n v="1500"/>
    <n v="0.05"/>
    <n v="2850"/>
    <x v="10"/>
  </r>
  <r>
    <n v="1845"/>
    <s v="14-10-2024"/>
    <x v="0"/>
    <x v="2"/>
    <x v="2"/>
    <x v="1"/>
    <n v="5"/>
    <n v="1500"/>
    <n v="0.05"/>
    <n v="7125"/>
    <x v="1"/>
  </r>
  <r>
    <n v="1846"/>
    <s v="14-06-2024"/>
    <x v="8"/>
    <x v="4"/>
    <x v="0"/>
    <x v="0"/>
    <n v="3"/>
    <n v="20000"/>
    <n v="0.15"/>
    <n v="51000"/>
    <x v="11"/>
  </r>
  <r>
    <n v="1847"/>
    <s v="27-06-2024"/>
    <x v="14"/>
    <x v="3"/>
    <x v="2"/>
    <x v="1"/>
    <n v="4"/>
    <n v="1500"/>
    <n v="0.1"/>
    <n v="5400"/>
    <x v="11"/>
  </r>
  <r>
    <n v="1848"/>
    <s v="05-06-2024"/>
    <x v="12"/>
    <x v="3"/>
    <x v="4"/>
    <x v="1"/>
    <n v="5"/>
    <n v="2000"/>
    <n v="0"/>
    <n v="10000"/>
    <x v="11"/>
  </r>
  <r>
    <n v="1849"/>
    <s v="13-08-2024"/>
    <x v="15"/>
    <x v="2"/>
    <x v="7"/>
    <x v="0"/>
    <n v="5"/>
    <n v="12000"/>
    <n v="0.05"/>
    <n v="57000"/>
    <x v="6"/>
  </r>
  <r>
    <n v="1850"/>
    <s v="13-02-2024"/>
    <x v="5"/>
    <x v="1"/>
    <x v="6"/>
    <x v="2"/>
    <n v="3"/>
    <n v="3000"/>
    <n v="0.05"/>
    <n v="8550"/>
    <x v="9"/>
  </r>
  <r>
    <n v="1851"/>
    <s v="27-05-2024"/>
    <x v="2"/>
    <x v="3"/>
    <x v="6"/>
    <x v="2"/>
    <n v="5"/>
    <n v="3000"/>
    <n v="0.05"/>
    <n v="14250"/>
    <x v="0"/>
  </r>
  <r>
    <n v="1852"/>
    <s v="29-08-2024"/>
    <x v="2"/>
    <x v="3"/>
    <x v="0"/>
    <x v="0"/>
    <n v="3"/>
    <n v="20000"/>
    <n v="0.15"/>
    <n v="51000"/>
    <x v="6"/>
  </r>
  <r>
    <n v="1853"/>
    <s v="14-04-2024"/>
    <x v="3"/>
    <x v="7"/>
    <x v="6"/>
    <x v="2"/>
    <n v="5"/>
    <n v="3000"/>
    <n v="0.05"/>
    <n v="14250"/>
    <x v="2"/>
  </r>
  <r>
    <n v="1854"/>
    <s v="25-10-2024"/>
    <x v="15"/>
    <x v="6"/>
    <x v="3"/>
    <x v="0"/>
    <n v="1"/>
    <n v="30000"/>
    <n v="0.15"/>
    <n v="25500"/>
    <x v="1"/>
  </r>
  <r>
    <n v="1855"/>
    <s v="12-04-2024"/>
    <x v="3"/>
    <x v="1"/>
    <x v="3"/>
    <x v="0"/>
    <n v="1"/>
    <n v="30000"/>
    <n v="0.1"/>
    <n v="27000"/>
    <x v="2"/>
  </r>
  <r>
    <n v="1856"/>
    <s v="17-07-2024"/>
    <x v="3"/>
    <x v="3"/>
    <x v="7"/>
    <x v="0"/>
    <n v="1"/>
    <n v="12000"/>
    <n v="0"/>
    <n v="12000"/>
    <x v="3"/>
  </r>
  <r>
    <n v="1857"/>
    <s v="28-11-2024"/>
    <x v="11"/>
    <x v="2"/>
    <x v="0"/>
    <x v="0"/>
    <n v="1"/>
    <n v="20000"/>
    <n v="0.1"/>
    <n v="18000"/>
    <x v="5"/>
  </r>
  <r>
    <n v="1858"/>
    <s v="10-06-2024"/>
    <x v="10"/>
    <x v="4"/>
    <x v="2"/>
    <x v="1"/>
    <n v="5"/>
    <n v="1500"/>
    <n v="0"/>
    <n v="7500"/>
    <x v="11"/>
  </r>
  <r>
    <n v="1859"/>
    <s v="14-10-2024"/>
    <x v="2"/>
    <x v="1"/>
    <x v="3"/>
    <x v="0"/>
    <n v="2"/>
    <n v="30000"/>
    <n v="0.15"/>
    <n v="51000"/>
    <x v="1"/>
  </r>
  <r>
    <n v="1860"/>
    <s v="19-06-2024"/>
    <x v="10"/>
    <x v="5"/>
    <x v="6"/>
    <x v="2"/>
    <n v="5"/>
    <n v="3000"/>
    <n v="0.1"/>
    <n v="13500"/>
    <x v="11"/>
  </r>
  <r>
    <n v="1861"/>
    <s v="16-12-2024"/>
    <x v="7"/>
    <x v="3"/>
    <x v="3"/>
    <x v="0"/>
    <n v="1"/>
    <n v="30000"/>
    <n v="0.1"/>
    <n v="27000"/>
    <x v="7"/>
  </r>
  <r>
    <n v="1862"/>
    <s v="01-02-2024"/>
    <x v="3"/>
    <x v="5"/>
    <x v="5"/>
    <x v="2"/>
    <n v="2"/>
    <n v="7000"/>
    <n v="0.1"/>
    <n v="12600"/>
    <x v="9"/>
  </r>
  <r>
    <n v="1863"/>
    <s v="25-04-2024"/>
    <x v="4"/>
    <x v="3"/>
    <x v="1"/>
    <x v="0"/>
    <n v="5"/>
    <n v="50000"/>
    <n v="0.1"/>
    <n v="225000"/>
    <x v="2"/>
  </r>
  <r>
    <n v="1864"/>
    <s v="14-07-2024"/>
    <x v="0"/>
    <x v="5"/>
    <x v="2"/>
    <x v="1"/>
    <n v="2"/>
    <n v="1500"/>
    <n v="0"/>
    <n v="3000"/>
    <x v="3"/>
  </r>
  <r>
    <n v="1865"/>
    <s v="06-08-2024"/>
    <x v="13"/>
    <x v="3"/>
    <x v="6"/>
    <x v="2"/>
    <n v="5"/>
    <n v="3000"/>
    <n v="0.05"/>
    <n v="14250"/>
    <x v="6"/>
  </r>
  <r>
    <n v="1866"/>
    <s v="15-04-2024"/>
    <x v="4"/>
    <x v="2"/>
    <x v="7"/>
    <x v="0"/>
    <n v="5"/>
    <n v="12000"/>
    <n v="0.05"/>
    <n v="57000"/>
    <x v="2"/>
  </r>
  <r>
    <n v="1867"/>
    <s v="08-08-2024"/>
    <x v="4"/>
    <x v="0"/>
    <x v="3"/>
    <x v="0"/>
    <n v="3"/>
    <n v="30000"/>
    <n v="0.05"/>
    <n v="85500"/>
    <x v="6"/>
  </r>
  <r>
    <n v="1868"/>
    <s v="04-04-2024"/>
    <x v="9"/>
    <x v="0"/>
    <x v="4"/>
    <x v="1"/>
    <n v="1"/>
    <n v="2000"/>
    <n v="0"/>
    <n v="2000"/>
    <x v="2"/>
  </r>
  <r>
    <n v="1869"/>
    <s v="29-07-2024"/>
    <x v="13"/>
    <x v="7"/>
    <x v="1"/>
    <x v="0"/>
    <n v="3"/>
    <n v="50000"/>
    <n v="0.15"/>
    <n v="127500"/>
    <x v="3"/>
  </r>
  <r>
    <n v="1870"/>
    <s v="24-02-2024"/>
    <x v="4"/>
    <x v="0"/>
    <x v="5"/>
    <x v="2"/>
    <n v="2"/>
    <n v="7000"/>
    <n v="0.05"/>
    <n v="13300"/>
    <x v="9"/>
  </r>
  <r>
    <n v="1871"/>
    <s v="06-11-2024"/>
    <x v="0"/>
    <x v="2"/>
    <x v="1"/>
    <x v="0"/>
    <n v="5"/>
    <n v="50000"/>
    <n v="0.1"/>
    <n v="225000"/>
    <x v="5"/>
  </r>
  <r>
    <n v="1872"/>
    <s v="10-02-2024"/>
    <x v="10"/>
    <x v="0"/>
    <x v="6"/>
    <x v="2"/>
    <n v="1"/>
    <n v="3000"/>
    <n v="0.1"/>
    <n v="2700"/>
    <x v="9"/>
  </r>
  <r>
    <n v="1873"/>
    <s v="17-07-2024"/>
    <x v="10"/>
    <x v="7"/>
    <x v="7"/>
    <x v="0"/>
    <n v="3"/>
    <n v="12000"/>
    <n v="0.05"/>
    <n v="34200"/>
    <x v="3"/>
  </r>
  <r>
    <n v="1874"/>
    <s v="25-04-2024"/>
    <x v="15"/>
    <x v="5"/>
    <x v="3"/>
    <x v="0"/>
    <n v="2"/>
    <n v="30000"/>
    <n v="0.05"/>
    <n v="57000"/>
    <x v="2"/>
  </r>
  <r>
    <n v="1875"/>
    <s v="23-04-2024"/>
    <x v="14"/>
    <x v="2"/>
    <x v="1"/>
    <x v="0"/>
    <n v="3"/>
    <n v="50000"/>
    <n v="0.15"/>
    <n v="127500"/>
    <x v="2"/>
  </r>
  <r>
    <n v="1876"/>
    <s v="11-11-2024"/>
    <x v="10"/>
    <x v="3"/>
    <x v="0"/>
    <x v="0"/>
    <n v="2"/>
    <n v="20000"/>
    <n v="0.15"/>
    <n v="34000"/>
    <x v="5"/>
  </r>
  <r>
    <n v="1877"/>
    <s v="26-07-2024"/>
    <x v="15"/>
    <x v="5"/>
    <x v="7"/>
    <x v="0"/>
    <n v="2"/>
    <n v="12000"/>
    <n v="0.15"/>
    <n v="20400"/>
    <x v="3"/>
  </r>
  <r>
    <n v="1878"/>
    <s v="23-09-2024"/>
    <x v="5"/>
    <x v="7"/>
    <x v="4"/>
    <x v="1"/>
    <n v="4"/>
    <n v="2000"/>
    <n v="0"/>
    <n v="8000"/>
    <x v="10"/>
  </r>
  <r>
    <n v="1879"/>
    <s v="22-09-2024"/>
    <x v="11"/>
    <x v="1"/>
    <x v="7"/>
    <x v="0"/>
    <n v="1"/>
    <n v="12000"/>
    <n v="0.05"/>
    <n v="11400"/>
    <x v="10"/>
  </r>
  <r>
    <n v="1880"/>
    <s v="07-04-2024"/>
    <x v="13"/>
    <x v="7"/>
    <x v="2"/>
    <x v="1"/>
    <n v="5"/>
    <n v="1500"/>
    <n v="0"/>
    <n v="7500"/>
    <x v="2"/>
  </r>
  <r>
    <n v="1881"/>
    <s v="24-08-2024"/>
    <x v="12"/>
    <x v="5"/>
    <x v="2"/>
    <x v="1"/>
    <n v="3"/>
    <n v="1500"/>
    <n v="0.1"/>
    <n v="4050"/>
    <x v="6"/>
  </r>
  <r>
    <n v="1882"/>
    <s v="19-12-2024"/>
    <x v="4"/>
    <x v="7"/>
    <x v="5"/>
    <x v="2"/>
    <n v="5"/>
    <n v="7000"/>
    <n v="0"/>
    <n v="35000"/>
    <x v="7"/>
  </r>
  <r>
    <n v="1883"/>
    <s v="02-04-2024"/>
    <x v="4"/>
    <x v="5"/>
    <x v="7"/>
    <x v="0"/>
    <n v="1"/>
    <n v="12000"/>
    <n v="0"/>
    <n v="12000"/>
    <x v="2"/>
  </r>
  <r>
    <n v="1884"/>
    <s v="13-01-2024"/>
    <x v="12"/>
    <x v="7"/>
    <x v="2"/>
    <x v="1"/>
    <n v="3"/>
    <n v="1500"/>
    <n v="0.15"/>
    <n v="3825"/>
    <x v="4"/>
  </r>
  <r>
    <n v="1885"/>
    <s v="08-05-2024"/>
    <x v="9"/>
    <x v="0"/>
    <x v="6"/>
    <x v="2"/>
    <n v="4"/>
    <n v="3000"/>
    <n v="0"/>
    <n v="12000"/>
    <x v="0"/>
  </r>
  <r>
    <n v="1886"/>
    <s v="27-12-2024"/>
    <x v="6"/>
    <x v="3"/>
    <x v="0"/>
    <x v="0"/>
    <n v="1"/>
    <n v="20000"/>
    <n v="0"/>
    <n v="20000"/>
    <x v="7"/>
  </r>
  <r>
    <n v="1887"/>
    <s v="18-09-2024"/>
    <x v="12"/>
    <x v="5"/>
    <x v="0"/>
    <x v="0"/>
    <n v="5"/>
    <n v="20000"/>
    <n v="0.15"/>
    <n v="85000"/>
    <x v="10"/>
  </r>
  <r>
    <n v="1888"/>
    <s v="20-06-2024"/>
    <x v="4"/>
    <x v="0"/>
    <x v="2"/>
    <x v="1"/>
    <n v="1"/>
    <n v="1500"/>
    <n v="0.05"/>
    <n v="1425"/>
    <x v="11"/>
  </r>
  <r>
    <n v="1889"/>
    <s v="02-08-2024"/>
    <x v="13"/>
    <x v="6"/>
    <x v="3"/>
    <x v="0"/>
    <n v="2"/>
    <n v="30000"/>
    <n v="0"/>
    <n v="60000"/>
    <x v="6"/>
  </r>
  <r>
    <n v="1890"/>
    <s v="01-03-2024"/>
    <x v="4"/>
    <x v="2"/>
    <x v="7"/>
    <x v="0"/>
    <n v="3"/>
    <n v="12000"/>
    <n v="0.05"/>
    <n v="34200"/>
    <x v="8"/>
  </r>
  <r>
    <n v="1891"/>
    <s v="07-01-2024"/>
    <x v="6"/>
    <x v="7"/>
    <x v="1"/>
    <x v="0"/>
    <n v="5"/>
    <n v="50000"/>
    <n v="0.1"/>
    <n v="225000"/>
    <x v="4"/>
  </r>
  <r>
    <n v="1892"/>
    <s v="07-11-2024"/>
    <x v="10"/>
    <x v="2"/>
    <x v="7"/>
    <x v="0"/>
    <n v="5"/>
    <n v="12000"/>
    <n v="0"/>
    <n v="60000"/>
    <x v="5"/>
  </r>
  <r>
    <n v="1893"/>
    <s v="20-08-2024"/>
    <x v="1"/>
    <x v="7"/>
    <x v="6"/>
    <x v="2"/>
    <n v="5"/>
    <n v="3000"/>
    <n v="0.15"/>
    <n v="12750"/>
    <x v="6"/>
  </r>
  <r>
    <n v="1894"/>
    <s v="05-05-2024"/>
    <x v="3"/>
    <x v="2"/>
    <x v="0"/>
    <x v="0"/>
    <n v="5"/>
    <n v="20000"/>
    <n v="0"/>
    <n v="100000"/>
    <x v="0"/>
  </r>
  <r>
    <n v="1895"/>
    <s v="29-01-2024"/>
    <x v="7"/>
    <x v="1"/>
    <x v="1"/>
    <x v="0"/>
    <n v="2"/>
    <n v="50000"/>
    <n v="0.05"/>
    <n v="95000"/>
    <x v="4"/>
  </r>
  <r>
    <n v="1896"/>
    <s v="18-06-2024"/>
    <x v="8"/>
    <x v="1"/>
    <x v="3"/>
    <x v="0"/>
    <n v="1"/>
    <n v="30000"/>
    <n v="0.1"/>
    <n v="27000"/>
    <x v="11"/>
  </r>
  <r>
    <n v="1897"/>
    <s v="23-03-2024"/>
    <x v="13"/>
    <x v="0"/>
    <x v="0"/>
    <x v="0"/>
    <n v="4"/>
    <n v="20000"/>
    <n v="0.05"/>
    <n v="76000"/>
    <x v="8"/>
  </r>
  <r>
    <n v="1898"/>
    <s v="19-01-2024"/>
    <x v="8"/>
    <x v="6"/>
    <x v="7"/>
    <x v="0"/>
    <n v="5"/>
    <n v="12000"/>
    <n v="0.1"/>
    <n v="54000"/>
    <x v="4"/>
  </r>
  <r>
    <n v="1899"/>
    <s v="04-02-2024"/>
    <x v="1"/>
    <x v="4"/>
    <x v="4"/>
    <x v="1"/>
    <n v="3"/>
    <n v="2000"/>
    <n v="0.15"/>
    <n v="5100"/>
    <x v="9"/>
  </r>
  <r>
    <n v="1900"/>
    <s v="03-03-2024"/>
    <x v="3"/>
    <x v="3"/>
    <x v="5"/>
    <x v="2"/>
    <n v="4"/>
    <n v="7000"/>
    <n v="0.05"/>
    <n v="26600"/>
    <x v="8"/>
  </r>
  <r>
    <n v="1901"/>
    <s v="22-12-2024"/>
    <x v="14"/>
    <x v="1"/>
    <x v="2"/>
    <x v="1"/>
    <n v="5"/>
    <n v="1500"/>
    <n v="0.05"/>
    <n v="7125"/>
    <x v="7"/>
  </r>
  <r>
    <n v="1902"/>
    <s v="04-09-2024"/>
    <x v="13"/>
    <x v="5"/>
    <x v="0"/>
    <x v="0"/>
    <n v="5"/>
    <n v="20000"/>
    <n v="0"/>
    <n v="100000"/>
    <x v="10"/>
  </r>
  <r>
    <n v="1903"/>
    <s v="07-03-2024"/>
    <x v="10"/>
    <x v="7"/>
    <x v="4"/>
    <x v="1"/>
    <n v="3"/>
    <n v="2000"/>
    <n v="0.1"/>
    <n v="5400"/>
    <x v="8"/>
  </r>
  <r>
    <n v="1904"/>
    <s v="28-12-2024"/>
    <x v="13"/>
    <x v="2"/>
    <x v="7"/>
    <x v="0"/>
    <n v="2"/>
    <n v="12000"/>
    <n v="0.05"/>
    <n v="22800"/>
    <x v="7"/>
  </r>
  <r>
    <n v="1905"/>
    <s v="26-08-2024"/>
    <x v="5"/>
    <x v="2"/>
    <x v="1"/>
    <x v="0"/>
    <n v="1"/>
    <n v="50000"/>
    <n v="0"/>
    <n v="50000"/>
    <x v="6"/>
  </r>
  <r>
    <n v="1906"/>
    <s v="19-06-2024"/>
    <x v="7"/>
    <x v="2"/>
    <x v="2"/>
    <x v="1"/>
    <n v="4"/>
    <n v="1500"/>
    <n v="0"/>
    <n v="6000"/>
    <x v="11"/>
  </r>
  <r>
    <n v="1907"/>
    <s v="10-05-2024"/>
    <x v="8"/>
    <x v="6"/>
    <x v="1"/>
    <x v="0"/>
    <n v="2"/>
    <n v="50000"/>
    <n v="0.1"/>
    <n v="90000"/>
    <x v="0"/>
  </r>
  <r>
    <n v="1908"/>
    <s v="04-01-2024"/>
    <x v="5"/>
    <x v="3"/>
    <x v="5"/>
    <x v="2"/>
    <n v="5"/>
    <n v="7000"/>
    <n v="0.1"/>
    <n v="31500"/>
    <x v="4"/>
  </r>
  <r>
    <n v="1909"/>
    <s v="30-03-2024"/>
    <x v="14"/>
    <x v="3"/>
    <x v="4"/>
    <x v="1"/>
    <n v="4"/>
    <n v="2000"/>
    <n v="0"/>
    <n v="8000"/>
    <x v="8"/>
  </r>
  <r>
    <n v="1910"/>
    <s v="19-01-2024"/>
    <x v="4"/>
    <x v="7"/>
    <x v="4"/>
    <x v="1"/>
    <n v="4"/>
    <n v="2000"/>
    <n v="0.15"/>
    <n v="6800"/>
    <x v="4"/>
  </r>
  <r>
    <n v="1911"/>
    <s v="24-08-2024"/>
    <x v="1"/>
    <x v="1"/>
    <x v="3"/>
    <x v="0"/>
    <n v="4"/>
    <n v="30000"/>
    <n v="0.1"/>
    <n v="108000"/>
    <x v="6"/>
  </r>
  <r>
    <n v="1912"/>
    <s v="11-10-2024"/>
    <x v="2"/>
    <x v="2"/>
    <x v="5"/>
    <x v="2"/>
    <n v="5"/>
    <n v="7000"/>
    <n v="0.1"/>
    <n v="31500"/>
    <x v="1"/>
  </r>
  <r>
    <n v="1913"/>
    <s v="17-03-2024"/>
    <x v="3"/>
    <x v="1"/>
    <x v="4"/>
    <x v="1"/>
    <n v="3"/>
    <n v="2000"/>
    <n v="0"/>
    <n v="6000"/>
    <x v="8"/>
  </r>
  <r>
    <n v="1914"/>
    <s v="19-10-2024"/>
    <x v="11"/>
    <x v="0"/>
    <x v="4"/>
    <x v="1"/>
    <n v="4"/>
    <n v="2000"/>
    <n v="0.05"/>
    <n v="7600"/>
    <x v="1"/>
  </r>
  <r>
    <n v="1915"/>
    <s v="29-12-2024"/>
    <x v="15"/>
    <x v="6"/>
    <x v="0"/>
    <x v="0"/>
    <n v="3"/>
    <n v="20000"/>
    <n v="0.1"/>
    <n v="54000"/>
    <x v="7"/>
  </r>
  <r>
    <n v="1916"/>
    <s v="01-05-2024"/>
    <x v="7"/>
    <x v="7"/>
    <x v="2"/>
    <x v="1"/>
    <n v="1"/>
    <n v="1500"/>
    <n v="0.15"/>
    <n v="1275"/>
    <x v="0"/>
  </r>
  <r>
    <n v="1917"/>
    <s v="30-03-2024"/>
    <x v="5"/>
    <x v="3"/>
    <x v="5"/>
    <x v="2"/>
    <n v="2"/>
    <n v="7000"/>
    <n v="0.1"/>
    <n v="12600"/>
    <x v="8"/>
  </r>
  <r>
    <n v="1918"/>
    <s v="15-08-2024"/>
    <x v="2"/>
    <x v="7"/>
    <x v="1"/>
    <x v="0"/>
    <n v="2"/>
    <n v="50000"/>
    <n v="0"/>
    <n v="100000"/>
    <x v="6"/>
  </r>
  <r>
    <n v="1919"/>
    <s v="04-09-2024"/>
    <x v="13"/>
    <x v="3"/>
    <x v="3"/>
    <x v="0"/>
    <n v="2"/>
    <n v="30000"/>
    <n v="0.1"/>
    <n v="54000"/>
    <x v="10"/>
  </r>
  <r>
    <n v="1920"/>
    <s v="15-04-2024"/>
    <x v="15"/>
    <x v="7"/>
    <x v="3"/>
    <x v="0"/>
    <n v="1"/>
    <n v="30000"/>
    <n v="0.05"/>
    <n v="28500"/>
    <x v="2"/>
  </r>
  <r>
    <n v="1921"/>
    <s v="03-01-2024"/>
    <x v="13"/>
    <x v="1"/>
    <x v="2"/>
    <x v="1"/>
    <n v="5"/>
    <n v="1500"/>
    <n v="0"/>
    <n v="7500"/>
    <x v="4"/>
  </r>
  <r>
    <n v="1922"/>
    <s v="24-01-2024"/>
    <x v="5"/>
    <x v="6"/>
    <x v="0"/>
    <x v="0"/>
    <n v="3"/>
    <n v="20000"/>
    <n v="0.15"/>
    <n v="51000"/>
    <x v="4"/>
  </r>
  <r>
    <n v="1923"/>
    <s v="23-11-2024"/>
    <x v="14"/>
    <x v="3"/>
    <x v="1"/>
    <x v="0"/>
    <n v="5"/>
    <n v="50000"/>
    <n v="0.1"/>
    <n v="225000"/>
    <x v="5"/>
  </r>
  <r>
    <n v="1924"/>
    <s v="21-05-2024"/>
    <x v="9"/>
    <x v="7"/>
    <x v="6"/>
    <x v="2"/>
    <n v="2"/>
    <n v="3000"/>
    <n v="0.1"/>
    <n v="5400"/>
    <x v="0"/>
  </r>
  <r>
    <n v="1925"/>
    <s v="21-03-2024"/>
    <x v="3"/>
    <x v="4"/>
    <x v="0"/>
    <x v="0"/>
    <n v="3"/>
    <n v="20000"/>
    <n v="0.05"/>
    <n v="57000"/>
    <x v="8"/>
  </r>
  <r>
    <n v="1926"/>
    <s v="15-04-2024"/>
    <x v="7"/>
    <x v="3"/>
    <x v="1"/>
    <x v="0"/>
    <n v="5"/>
    <n v="50000"/>
    <n v="0"/>
    <n v="250000"/>
    <x v="2"/>
  </r>
  <r>
    <n v="1927"/>
    <s v="20-10-2024"/>
    <x v="0"/>
    <x v="0"/>
    <x v="5"/>
    <x v="2"/>
    <n v="2"/>
    <n v="7000"/>
    <n v="0.1"/>
    <n v="12600"/>
    <x v="1"/>
  </r>
  <r>
    <n v="1928"/>
    <s v="03-10-2024"/>
    <x v="6"/>
    <x v="1"/>
    <x v="0"/>
    <x v="0"/>
    <n v="3"/>
    <n v="20000"/>
    <n v="0.1"/>
    <n v="54000"/>
    <x v="1"/>
  </r>
  <r>
    <n v="1929"/>
    <s v="11-12-2024"/>
    <x v="15"/>
    <x v="4"/>
    <x v="3"/>
    <x v="0"/>
    <n v="1"/>
    <n v="30000"/>
    <n v="0.15"/>
    <n v="25500"/>
    <x v="7"/>
  </r>
  <r>
    <n v="1930"/>
    <s v="06-08-2024"/>
    <x v="11"/>
    <x v="0"/>
    <x v="2"/>
    <x v="1"/>
    <n v="1"/>
    <n v="1500"/>
    <n v="0"/>
    <n v="1500"/>
    <x v="6"/>
  </r>
  <r>
    <n v="1931"/>
    <s v="08-06-2024"/>
    <x v="9"/>
    <x v="2"/>
    <x v="7"/>
    <x v="0"/>
    <n v="5"/>
    <n v="12000"/>
    <n v="0.1"/>
    <n v="54000"/>
    <x v="11"/>
  </r>
  <r>
    <n v="1932"/>
    <s v="17-02-2024"/>
    <x v="6"/>
    <x v="4"/>
    <x v="0"/>
    <x v="0"/>
    <n v="4"/>
    <n v="20000"/>
    <n v="0.05"/>
    <n v="76000"/>
    <x v="9"/>
  </r>
  <r>
    <n v="1933"/>
    <s v="28-08-2024"/>
    <x v="0"/>
    <x v="2"/>
    <x v="7"/>
    <x v="0"/>
    <n v="3"/>
    <n v="12000"/>
    <n v="0.15"/>
    <n v="30600"/>
    <x v="6"/>
  </r>
  <r>
    <n v="1934"/>
    <s v="05-07-2024"/>
    <x v="11"/>
    <x v="0"/>
    <x v="3"/>
    <x v="0"/>
    <n v="5"/>
    <n v="30000"/>
    <n v="0.1"/>
    <n v="135000"/>
    <x v="3"/>
  </r>
  <r>
    <n v="1935"/>
    <s v="06-09-2024"/>
    <x v="2"/>
    <x v="4"/>
    <x v="4"/>
    <x v="1"/>
    <n v="3"/>
    <n v="2000"/>
    <n v="0.15"/>
    <n v="5100"/>
    <x v="10"/>
  </r>
  <r>
    <n v="1936"/>
    <s v="02-09-2024"/>
    <x v="6"/>
    <x v="0"/>
    <x v="7"/>
    <x v="0"/>
    <n v="1"/>
    <n v="12000"/>
    <n v="0.1"/>
    <n v="10800"/>
    <x v="10"/>
  </r>
  <r>
    <n v="1937"/>
    <s v="17-09-2024"/>
    <x v="5"/>
    <x v="5"/>
    <x v="5"/>
    <x v="2"/>
    <n v="3"/>
    <n v="7000"/>
    <n v="0.05"/>
    <n v="19950"/>
    <x v="10"/>
  </r>
  <r>
    <n v="1938"/>
    <s v="03-06-2024"/>
    <x v="6"/>
    <x v="5"/>
    <x v="0"/>
    <x v="0"/>
    <n v="3"/>
    <n v="20000"/>
    <n v="0"/>
    <n v="60000"/>
    <x v="11"/>
  </r>
  <r>
    <n v="1939"/>
    <s v="07-10-2024"/>
    <x v="12"/>
    <x v="7"/>
    <x v="2"/>
    <x v="1"/>
    <n v="2"/>
    <n v="1500"/>
    <n v="0.05"/>
    <n v="2850"/>
    <x v="1"/>
  </r>
  <r>
    <n v="1940"/>
    <s v="16-04-2024"/>
    <x v="1"/>
    <x v="5"/>
    <x v="2"/>
    <x v="1"/>
    <n v="1"/>
    <n v="1500"/>
    <n v="0.1"/>
    <n v="1350"/>
    <x v="2"/>
  </r>
  <r>
    <n v="1941"/>
    <s v="29-03-2024"/>
    <x v="8"/>
    <x v="7"/>
    <x v="4"/>
    <x v="1"/>
    <n v="5"/>
    <n v="2000"/>
    <n v="0.05"/>
    <n v="9500"/>
    <x v="8"/>
  </r>
  <r>
    <n v="1942"/>
    <s v="15-06-2024"/>
    <x v="5"/>
    <x v="7"/>
    <x v="0"/>
    <x v="0"/>
    <n v="5"/>
    <n v="20000"/>
    <n v="0.15"/>
    <n v="85000"/>
    <x v="11"/>
  </r>
  <r>
    <n v="1943"/>
    <s v="05-02-2024"/>
    <x v="5"/>
    <x v="5"/>
    <x v="3"/>
    <x v="0"/>
    <n v="3"/>
    <n v="30000"/>
    <n v="0.15"/>
    <n v="76500"/>
    <x v="9"/>
  </r>
  <r>
    <n v="1944"/>
    <s v="16-02-2024"/>
    <x v="14"/>
    <x v="0"/>
    <x v="4"/>
    <x v="1"/>
    <n v="4"/>
    <n v="2000"/>
    <n v="0"/>
    <n v="8000"/>
    <x v="9"/>
  </r>
  <r>
    <n v="1945"/>
    <s v="19-08-2024"/>
    <x v="13"/>
    <x v="5"/>
    <x v="1"/>
    <x v="0"/>
    <n v="2"/>
    <n v="50000"/>
    <n v="0.05"/>
    <n v="95000"/>
    <x v="6"/>
  </r>
  <r>
    <n v="1946"/>
    <s v="14-12-2024"/>
    <x v="9"/>
    <x v="6"/>
    <x v="7"/>
    <x v="0"/>
    <n v="2"/>
    <n v="12000"/>
    <n v="0.05"/>
    <n v="22800"/>
    <x v="7"/>
  </r>
  <r>
    <n v="1947"/>
    <s v="15-02-2024"/>
    <x v="2"/>
    <x v="5"/>
    <x v="5"/>
    <x v="2"/>
    <n v="4"/>
    <n v="7000"/>
    <n v="0.1"/>
    <n v="25200"/>
    <x v="9"/>
  </r>
  <r>
    <n v="1948"/>
    <s v="08-07-2024"/>
    <x v="15"/>
    <x v="1"/>
    <x v="3"/>
    <x v="0"/>
    <n v="3"/>
    <n v="30000"/>
    <n v="0"/>
    <n v="90000"/>
    <x v="3"/>
  </r>
  <r>
    <n v="1949"/>
    <s v="16-01-2024"/>
    <x v="0"/>
    <x v="5"/>
    <x v="4"/>
    <x v="1"/>
    <n v="1"/>
    <n v="2000"/>
    <n v="0.1"/>
    <n v="1800"/>
    <x v="4"/>
  </r>
  <r>
    <n v="1950"/>
    <s v="26-07-2024"/>
    <x v="11"/>
    <x v="5"/>
    <x v="2"/>
    <x v="1"/>
    <n v="3"/>
    <n v="1500"/>
    <n v="0.15"/>
    <n v="3825"/>
    <x v="3"/>
  </r>
  <r>
    <n v="1951"/>
    <s v="12-03-2024"/>
    <x v="14"/>
    <x v="5"/>
    <x v="6"/>
    <x v="2"/>
    <n v="2"/>
    <n v="3000"/>
    <n v="0.15"/>
    <n v="5100"/>
    <x v="8"/>
  </r>
  <r>
    <n v="1952"/>
    <s v="27-05-2024"/>
    <x v="4"/>
    <x v="0"/>
    <x v="4"/>
    <x v="1"/>
    <n v="4"/>
    <n v="2000"/>
    <n v="0.05"/>
    <n v="7600"/>
    <x v="0"/>
  </r>
  <r>
    <n v="1953"/>
    <s v="14-03-2024"/>
    <x v="10"/>
    <x v="5"/>
    <x v="1"/>
    <x v="0"/>
    <n v="1"/>
    <n v="50000"/>
    <n v="0"/>
    <n v="50000"/>
    <x v="8"/>
  </r>
  <r>
    <n v="1954"/>
    <s v="24-11-2024"/>
    <x v="1"/>
    <x v="7"/>
    <x v="3"/>
    <x v="0"/>
    <n v="1"/>
    <n v="30000"/>
    <n v="0.05"/>
    <n v="28500"/>
    <x v="5"/>
  </r>
  <r>
    <n v="1955"/>
    <s v="20-08-2024"/>
    <x v="1"/>
    <x v="7"/>
    <x v="2"/>
    <x v="1"/>
    <n v="5"/>
    <n v="1500"/>
    <n v="0.05"/>
    <n v="7125"/>
    <x v="6"/>
  </r>
  <r>
    <n v="1956"/>
    <s v="05-04-2024"/>
    <x v="1"/>
    <x v="1"/>
    <x v="2"/>
    <x v="1"/>
    <n v="3"/>
    <n v="1500"/>
    <n v="0.05"/>
    <n v="4275"/>
    <x v="2"/>
  </r>
  <r>
    <n v="1957"/>
    <s v="29-07-2024"/>
    <x v="7"/>
    <x v="1"/>
    <x v="7"/>
    <x v="0"/>
    <n v="2"/>
    <n v="12000"/>
    <n v="0.1"/>
    <n v="21600"/>
    <x v="3"/>
  </r>
  <r>
    <n v="1958"/>
    <s v="26-12-2024"/>
    <x v="7"/>
    <x v="4"/>
    <x v="1"/>
    <x v="0"/>
    <n v="5"/>
    <n v="50000"/>
    <n v="0.15"/>
    <n v="212500"/>
    <x v="7"/>
  </r>
  <r>
    <n v="1959"/>
    <s v="26-09-2024"/>
    <x v="3"/>
    <x v="7"/>
    <x v="7"/>
    <x v="0"/>
    <n v="1"/>
    <n v="12000"/>
    <n v="0.05"/>
    <n v="11400"/>
    <x v="10"/>
  </r>
  <r>
    <n v="1960"/>
    <s v="05-05-2024"/>
    <x v="10"/>
    <x v="4"/>
    <x v="0"/>
    <x v="0"/>
    <n v="5"/>
    <n v="20000"/>
    <n v="0"/>
    <n v="100000"/>
    <x v="0"/>
  </r>
  <r>
    <n v="1961"/>
    <s v="24-06-2024"/>
    <x v="2"/>
    <x v="7"/>
    <x v="5"/>
    <x v="2"/>
    <n v="5"/>
    <n v="7000"/>
    <n v="0"/>
    <n v="35000"/>
    <x v="11"/>
  </r>
  <r>
    <n v="1962"/>
    <s v="20-10-2024"/>
    <x v="9"/>
    <x v="5"/>
    <x v="7"/>
    <x v="0"/>
    <n v="5"/>
    <n v="12000"/>
    <n v="0.15"/>
    <n v="51000"/>
    <x v="1"/>
  </r>
  <r>
    <n v="1963"/>
    <s v="26-03-2024"/>
    <x v="15"/>
    <x v="6"/>
    <x v="4"/>
    <x v="1"/>
    <n v="3"/>
    <n v="2000"/>
    <n v="0.1"/>
    <n v="5400"/>
    <x v="8"/>
  </r>
  <r>
    <n v="1964"/>
    <s v="23-10-2024"/>
    <x v="12"/>
    <x v="1"/>
    <x v="5"/>
    <x v="2"/>
    <n v="1"/>
    <n v="7000"/>
    <n v="0.15"/>
    <n v="5950"/>
    <x v="1"/>
  </r>
  <r>
    <n v="1965"/>
    <s v="26-05-2024"/>
    <x v="10"/>
    <x v="4"/>
    <x v="5"/>
    <x v="2"/>
    <n v="5"/>
    <n v="7000"/>
    <n v="0"/>
    <n v="35000"/>
    <x v="0"/>
  </r>
  <r>
    <n v="1966"/>
    <s v="22-05-2024"/>
    <x v="3"/>
    <x v="0"/>
    <x v="3"/>
    <x v="0"/>
    <n v="5"/>
    <n v="30000"/>
    <n v="0"/>
    <n v="150000"/>
    <x v="0"/>
  </r>
  <r>
    <n v="1967"/>
    <s v="08-01-2024"/>
    <x v="5"/>
    <x v="0"/>
    <x v="5"/>
    <x v="2"/>
    <n v="3"/>
    <n v="7000"/>
    <n v="0.1"/>
    <n v="18900"/>
    <x v="4"/>
  </r>
  <r>
    <n v="1968"/>
    <s v="30-03-2024"/>
    <x v="3"/>
    <x v="2"/>
    <x v="3"/>
    <x v="0"/>
    <n v="4"/>
    <n v="30000"/>
    <n v="0.1"/>
    <n v="108000"/>
    <x v="8"/>
  </r>
  <r>
    <n v="1969"/>
    <s v="24-06-2024"/>
    <x v="8"/>
    <x v="0"/>
    <x v="7"/>
    <x v="0"/>
    <n v="2"/>
    <n v="12000"/>
    <n v="0"/>
    <n v="24000"/>
    <x v="11"/>
  </r>
  <r>
    <n v="1970"/>
    <s v="15-07-2024"/>
    <x v="0"/>
    <x v="7"/>
    <x v="3"/>
    <x v="0"/>
    <n v="4"/>
    <n v="30000"/>
    <n v="0.15"/>
    <n v="102000"/>
    <x v="3"/>
  </r>
  <r>
    <n v="1971"/>
    <s v="28-01-2024"/>
    <x v="3"/>
    <x v="4"/>
    <x v="3"/>
    <x v="0"/>
    <n v="2"/>
    <n v="30000"/>
    <n v="0.1"/>
    <n v="54000"/>
    <x v="4"/>
  </r>
  <r>
    <n v="1972"/>
    <s v="23-07-2024"/>
    <x v="10"/>
    <x v="6"/>
    <x v="1"/>
    <x v="0"/>
    <n v="2"/>
    <n v="50000"/>
    <n v="0.15"/>
    <n v="85000"/>
    <x v="3"/>
  </r>
  <r>
    <n v="1973"/>
    <s v="13-07-2024"/>
    <x v="11"/>
    <x v="7"/>
    <x v="7"/>
    <x v="0"/>
    <n v="5"/>
    <n v="12000"/>
    <n v="0.05"/>
    <n v="57000"/>
    <x v="3"/>
  </r>
  <r>
    <n v="1974"/>
    <s v="07-01-2024"/>
    <x v="13"/>
    <x v="7"/>
    <x v="5"/>
    <x v="2"/>
    <n v="2"/>
    <n v="7000"/>
    <n v="0.15"/>
    <n v="11900"/>
    <x v="4"/>
  </r>
  <r>
    <n v="1975"/>
    <s v="19-02-2024"/>
    <x v="7"/>
    <x v="5"/>
    <x v="2"/>
    <x v="1"/>
    <n v="3"/>
    <n v="1500"/>
    <n v="0"/>
    <n v="4500"/>
    <x v="9"/>
  </r>
  <r>
    <n v="1976"/>
    <s v="16-05-2024"/>
    <x v="5"/>
    <x v="6"/>
    <x v="5"/>
    <x v="2"/>
    <n v="3"/>
    <n v="7000"/>
    <n v="0.1"/>
    <n v="18900"/>
    <x v="0"/>
  </r>
  <r>
    <n v="1977"/>
    <s v="10-12-2024"/>
    <x v="14"/>
    <x v="3"/>
    <x v="2"/>
    <x v="1"/>
    <n v="4"/>
    <n v="1500"/>
    <n v="0.05"/>
    <n v="5700"/>
    <x v="7"/>
  </r>
  <r>
    <n v="1978"/>
    <s v="10-12-2024"/>
    <x v="2"/>
    <x v="4"/>
    <x v="3"/>
    <x v="0"/>
    <n v="3"/>
    <n v="30000"/>
    <n v="0"/>
    <n v="90000"/>
    <x v="7"/>
  </r>
  <r>
    <n v="1979"/>
    <s v="25-09-2024"/>
    <x v="5"/>
    <x v="7"/>
    <x v="1"/>
    <x v="0"/>
    <n v="4"/>
    <n v="50000"/>
    <n v="0"/>
    <n v="200000"/>
    <x v="10"/>
  </r>
  <r>
    <n v="1980"/>
    <s v="08-05-2024"/>
    <x v="14"/>
    <x v="1"/>
    <x v="4"/>
    <x v="1"/>
    <n v="2"/>
    <n v="2000"/>
    <n v="0.1"/>
    <n v="3600"/>
    <x v="0"/>
  </r>
  <r>
    <n v="1981"/>
    <s v="30-01-2024"/>
    <x v="14"/>
    <x v="4"/>
    <x v="1"/>
    <x v="0"/>
    <n v="5"/>
    <n v="50000"/>
    <n v="0"/>
    <n v="250000"/>
    <x v="4"/>
  </r>
  <r>
    <n v="1982"/>
    <s v="11-07-2024"/>
    <x v="12"/>
    <x v="4"/>
    <x v="0"/>
    <x v="0"/>
    <n v="1"/>
    <n v="20000"/>
    <n v="0.05"/>
    <n v="19000"/>
    <x v="3"/>
  </r>
  <r>
    <n v="1983"/>
    <s v="27-08-2024"/>
    <x v="8"/>
    <x v="7"/>
    <x v="3"/>
    <x v="0"/>
    <n v="3"/>
    <n v="30000"/>
    <n v="0.1"/>
    <n v="81000"/>
    <x v="6"/>
  </r>
  <r>
    <n v="1984"/>
    <s v="11-05-2024"/>
    <x v="12"/>
    <x v="4"/>
    <x v="5"/>
    <x v="2"/>
    <n v="4"/>
    <n v="7000"/>
    <n v="0.1"/>
    <n v="25200"/>
    <x v="0"/>
  </r>
  <r>
    <n v="1985"/>
    <s v="17-07-2024"/>
    <x v="9"/>
    <x v="1"/>
    <x v="5"/>
    <x v="2"/>
    <n v="1"/>
    <n v="7000"/>
    <n v="0.15"/>
    <n v="5950"/>
    <x v="3"/>
  </r>
  <r>
    <n v="1986"/>
    <s v="13-08-2024"/>
    <x v="8"/>
    <x v="7"/>
    <x v="5"/>
    <x v="2"/>
    <n v="3"/>
    <n v="7000"/>
    <n v="0.05"/>
    <n v="19950"/>
    <x v="6"/>
  </r>
  <r>
    <n v="1987"/>
    <s v="01-04-2024"/>
    <x v="10"/>
    <x v="4"/>
    <x v="6"/>
    <x v="2"/>
    <n v="5"/>
    <n v="3000"/>
    <n v="0.15"/>
    <n v="12750"/>
    <x v="2"/>
  </r>
  <r>
    <n v="1988"/>
    <s v="21-04-2024"/>
    <x v="5"/>
    <x v="7"/>
    <x v="3"/>
    <x v="0"/>
    <n v="5"/>
    <n v="30000"/>
    <n v="0.15"/>
    <n v="127500"/>
    <x v="2"/>
  </r>
  <r>
    <n v="1989"/>
    <s v="07-02-2024"/>
    <x v="8"/>
    <x v="6"/>
    <x v="5"/>
    <x v="2"/>
    <n v="1"/>
    <n v="7000"/>
    <n v="0"/>
    <n v="7000"/>
    <x v="9"/>
  </r>
  <r>
    <n v="1990"/>
    <s v="17-03-2024"/>
    <x v="2"/>
    <x v="1"/>
    <x v="7"/>
    <x v="0"/>
    <n v="1"/>
    <n v="12000"/>
    <n v="0.15"/>
    <n v="10200"/>
    <x v="8"/>
  </r>
  <r>
    <n v="1991"/>
    <s v="24-12-2024"/>
    <x v="9"/>
    <x v="5"/>
    <x v="2"/>
    <x v="1"/>
    <n v="3"/>
    <n v="1500"/>
    <n v="0.05"/>
    <n v="4275"/>
    <x v="7"/>
  </r>
  <r>
    <n v="1992"/>
    <s v="01-09-2024"/>
    <x v="1"/>
    <x v="5"/>
    <x v="1"/>
    <x v="0"/>
    <n v="5"/>
    <n v="50000"/>
    <n v="0.15"/>
    <n v="212500"/>
    <x v="10"/>
  </r>
  <r>
    <n v="1993"/>
    <s v="02-01-2024"/>
    <x v="11"/>
    <x v="7"/>
    <x v="0"/>
    <x v="0"/>
    <n v="5"/>
    <n v="20000"/>
    <n v="0.05"/>
    <n v="95000"/>
    <x v="4"/>
  </r>
  <r>
    <n v="1994"/>
    <s v="19-06-2024"/>
    <x v="13"/>
    <x v="5"/>
    <x v="0"/>
    <x v="0"/>
    <n v="5"/>
    <n v="20000"/>
    <n v="0.1"/>
    <n v="90000"/>
    <x v="11"/>
  </r>
  <r>
    <n v="1995"/>
    <s v="30-09-2024"/>
    <x v="9"/>
    <x v="4"/>
    <x v="1"/>
    <x v="0"/>
    <n v="1"/>
    <n v="50000"/>
    <n v="0.1"/>
    <n v="45000"/>
    <x v="10"/>
  </r>
  <r>
    <n v="1996"/>
    <s v="31-03-2024"/>
    <x v="15"/>
    <x v="5"/>
    <x v="7"/>
    <x v="0"/>
    <n v="3"/>
    <n v="12000"/>
    <n v="0.05"/>
    <n v="34200"/>
    <x v="8"/>
  </r>
  <r>
    <n v="1997"/>
    <s v="24-02-2024"/>
    <x v="7"/>
    <x v="7"/>
    <x v="6"/>
    <x v="2"/>
    <n v="3"/>
    <n v="3000"/>
    <n v="0.15"/>
    <n v="7650"/>
    <x v="9"/>
  </r>
  <r>
    <n v="1998"/>
    <s v="12-03-2024"/>
    <x v="15"/>
    <x v="2"/>
    <x v="0"/>
    <x v="0"/>
    <n v="4"/>
    <n v="20000"/>
    <n v="0.05"/>
    <n v="76000"/>
    <x v="8"/>
  </r>
  <r>
    <n v="1999"/>
    <s v="07-09-2024"/>
    <x v="11"/>
    <x v="4"/>
    <x v="1"/>
    <x v="0"/>
    <n v="5"/>
    <n v="50000"/>
    <n v="0.05"/>
    <n v="237500"/>
    <x v="10"/>
  </r>
  <r>
    <n v="2000"/>
    <s v="09-01-2024"/>
    <x v="15"/>
    <x v="3"/>
    <x v="5"/>
    <x v="2"/>
    <n v="4"/>
    <n v="7000"/>
    <n v="0.15"/>
    <n v="23800"/>
    <x v="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01"/>
    <x v="0"/>
    <s v="Sanjay"/>
    <x v="0"/>
    <x v="0"/>
    <x v="0"/>
    <n v="1"/>
    <n v="20000"/>
    <n v="0.1"/>
    <n v="18000"/>
    <x v="0"/>
  </r>
  <r>
    <n v="1043"/>
    <x v="1"/>
    <s v="Neha"/>
    <x v="1"/>
    <x v="1"/>
    <x v="0"/>
    <n v="5"/>
    <n v="50000"/>
    <n v="0"/>
    <n v="250000"/>
    <x v="1"/>
  </r>
  <r>
    <n v="1003"/>
    <x v="2"/>
    <s v="Ravi"/>
    <x v="2"/>
    <x v="1"/>
    <x v="0"/>
    <n v="1"/>
    <n v="50000"/>
    <n v="0.05"/>
    <n v="47500"/>
    <x v="1"/>
  </r>
  <r>
    <n v="1004"/>
    <x v="3"/>
    <s v="Pooja"/>
    <x v="3"/>
    <x v="2"/>
    <x v="1"/>
    <n v="2"/>
    <n v="1500"/>
    <n v="0.15"/>
    <n v="2550"/>
    <x v="2"/>
  </r>
  <r>
    <n v="1005"/>
    <x v="4"/>
    <s v="Karan"/>
    <x v="2"/>
    <x v="3"/>
    <x v="0"/>
    <n v="4"/>
    <n v="30000"/>
    <n v="0.1"/>
    <n v="108000"/>
    <x v="0"/>
  </r>
  <r>
    <n v="1006"/>
    <x v="5"/>
    <s v="Priya"/>
    <x v="4"/>
    <x v="4"/>
    <x v="1"/>
    <n v="1"/>
    <n v="2000"/>
    <n v="0"/>
    <n v="2000"/>
    <x v="3"/>
  </r>
  <r>
    <n v="1094"/>
    <x v="6"/>
    <s v="Sanjay"/>
    <x v="1"/>
    <x v="1"/>
    <x v="0"/>
    <n v="5"/>
    <n v="50000"/>
    <n v="0"/>
    <n v="250000"/>
    <x v="4"/>
  </r>
  <r>
    <n v="1008"/>
    <x v="7"/>
    <s v="Sneha"/>
    <x v="2"/>
    <x v="2"/>
    <x v="1"/>
    <n v="1"/>
    <n v="1500"/>
    <n v="0.1"/>
    <n v="1350"/>
    <x v="5"/>
  </r>
  <r>
    <n v="1009"/>
    <x v="8"/>
    <s v="Neha"/>
    <x v="2"/>
    <x v="0"/>
    <x v="0"/>
    <n v="1"/>
    <n v="20000"/>
    <n v="0.05"/>
    <n v="19000"/>
    <x v="0"/>
  </r>
  <r>
    <n v="1010"/>
    <x v="9"/>
    <s v="Sneha"/>
    <x v="0"/>
    <x v="0"/>
    <x v="0"/>
    <n v="4"/>
    <n v="20000"/>
    <n v="0.1"/>
    <n v="72000"/>
    <x v="6"/>
  </r>
  <r>
    <n v="1011"/>
    <x v="10"/>
    <s v="Pooja"/>
    <x v="1"/>
    <x v="4"/>
    <x v="1"/>
    <n v="3"/>
    <n v="2000"/>
    <n v="0.05"/>
    <n v="5700"/>
    <x v="7"/>
  </r>
  <r>
    <n v="1123"/>
    <x v="11"/>
    <s v="Anjali"/>
    <x v="5"/>
    <x v="1"/>
    <x v="0"/>
    <n v="5"/>
    <n v="50000"/>
    <n v="0"/>
    <n v="250000"/>
    <x v="1"/>
  </r>
  <r>
    <n v="1646"/>
    <x v="12"/>
    <s v="Manish"/>
    <x v="0"/>
    <x v="1"/>
    <x v="0"/>
    <n v="5"/>
    <n v="50000"/>
    <n v="0"/>
    <n v="250000"/>
    <x v="6"/>
  </r>
  <r>
    <n v="1014"/>
    <x v="13"/>
    <s v="Pooja"/>
    <x v="1"/>
    <x v="5"/>
    <x v="2"/>
    <n v="1"/>
    <n v="3000"/>
    <n v="0.1"/>
    <n v="2700"/>
    <x v="3"/>
  </r>
  <r>
    <n v="1655"/>
    <x v="14"/>
    <s v="Arjun"/>
    <x v="0"/>
    <x v="1"/>
    <x v="0"/>
    <n v="5"/>
    <n v="50000"/>
    <n v="0"/>
    <n v="250000"/>
    <x v="8"/>
  </r>
  <r>
    <n v="1016"/>
    <x v="15"/>
    <s v="Sanjay"/>
    <x v="5"/>
    <x v="6"/>
    <x v="0"/>
    <n v="2"/>
    <n v="12000"/>
    <n v="0.1"/>
    <n v="21600"/>
    <x v="9"/>
  </r>
  <r>
    <n v="1926"/>
    <x v="16"/>
    <s v="Sneha"/>
    <x v="4"/>
    <x v="1"/>
    <x v="0"/>
    <n v="5"/>
    <n v="50000"/>
    <n v="0"/>
    <n v="250000"/>
    <x v="1"/>
  </r>
  <r>
    <n v="1018"/>
    <x v="17"/>
    <s v="Karan"/>
    <x v="0"/>
    <x v="6"/>
    <x v="0"/>
    <n v="1"/>
    <n v="12000"/>
    <n v="0"/>
    <n v="12000"/>
    <x v="10"/>
  </r>
  <r>
    <n v="1981"/>
    <x v="18"/>
    <s v="Anjali"/>
    <x v="1"/>
    <x v="1"/>
    <x v="0"/>
    <n v="5"/>
    <n v="50000"/>
    <n v="0"/>
    <n v="250000"/>
    <x v="8"/>
  </r>
  <r>
    <n v="1256"/>
    <x v="19"/>
    <s v="Vikas"/>
    <x v="6"/>
    <x v="1"/>
    <x v="0"/>
    <n v="5"/>
    <n v="50000"/>
    <n v="0.05"/>
    <n v="237500"/>
    <x v="9"/>
  </r>
  <r>
    <n v="1021"/>
    <x v="20"/>
    <s v="Rohit"/>
    <x v="7"/>
    <x v="4"/>
    <x v="1"/>
    <n v="1"/>
    <n v="2000"/>
    <n v="0.1"/>
    <n v="1800"/>
    <x v="6"/>
  </r>
  <r>
    <n v="1022"/>
    <x v="21"/>
    <s v="Priya"/>
    <x v="5"/>
    <x v="1"/>
    <x v="0"/>
    <n v="3"/>
    <n v="50000"/>
    <n v="0.05"/>
    <n v="142500"/>
    <x v="11"/>
  </r>
  <r>
    <n v="1023"/>
    <x v="22"/>
    <s v="Ravi"/>
    <x v="4"/>
    <x v="5"/>
    <x v="2"/>
    <n v="2"/>
    <n v="3000"/>
    <n v="0.1"/>
    <n v="5400"/>
    <x v="9"/>
  </r>
  <r>
    <n v="1024"/>
    <x v="23"/>
    <s v="Vikas"/>
    <x v="2"/>
    <x v="6"/>
    <x v="0"/>
    <n v="1"/>
    <n v="12000"/>
    <n v="0"/>
    <n v="12000"/>
    <x v="3"/>
  </r>
  <r>
    <n v="1025"/>
    <x v="24"/>
    <s v="Simran"/>
    <x v="1"/>
    <x v="1"/>
    <x v="0"/>
    <n v="2"/>
    <n v="50000"/>
    <n v="0"/>
    <n v="100000"/>
    <x v="10"/>
  </r>
  <r>
    <n v="1026"/>
    <x v="25"/>
    <s v="Rohit"/>
    <x v="5"/>
    <x v="3"/>
    <x v="0"/>
    <n v="2"/>
    <n v="30000"/>
    <n v="0.15"/>
    <n v="51000"/>
    <x v="2"/>
  </r>
  <r>
    <n v="1027"/>
    <x v="26"/>
    <s v="Arjun"/>
    <x v="4"/>
    <x v="2"/>
    <x v="1"/>
    <n v="2"/>
    <n v="1500"/>
    <n v="0.05"/>
    <n v="2850"/>
    <x v="4"/>
  </r>
  <r>
    <n v="1470"/>
    <x v="27"/>
    <s v="Sneha"/>
    <x v="2"/>
    <x v="1"/>
    <x v="0"/>
    <n v="5"/>
    <n v="50000"/>
    <n v="0.05"/>
    <n v="237500"/>
    <x v="6"/>
  </r>
  <r>
    <n v="1029"/>
    <x v="3"/>
    <s v="Sanjay"/>
    <x v="2"/>
    <x v="0"/>
    <x v="0"/>
    <n v="3"/>
    <n v="20000"/>
    <n v="0"/>
    <n v="60000"/>
    <x v="2"/>
  </r>
  <r>
    <n v="1030"/>
    <x v="28"/>
    <s v="Neha"/>
    <x v="3"/>
    <x v="1"/>
    <x v="0"/>
    <n v="1"/>
    <n v="50000"/>
    <n v="0"/>
    <n v="50000"/>
    <x v="1"/>
  </r>
  <r>
    <n v="1031"/>
    <x v="4"/>
    <s v="Simran"/>
    <x v="2"/>
    <x v="4"/>
    <x v="1"/>
    <n v="1"/>
    <n v="2000"/>
    <n v="0.05"/>
    <n v="1900"/>
    <x v="0"/>
  </r>
  <r>
    <n v="1715"/>
    <x v="29"/>
    <s v="Rohit"/>
    <x v="5"/>
    <x v="1"/>
    <x v="0"/>
    <n v="5"/>
    <n v="50000"/>
    <n v="0.05"/>
    <n v="237500"/>
    <x v="8"/>
  </r>
  <r>
    <n v="1033"/>
    <x v="30"/>
    <s v="Kavya"/>
    <x v="4"/>
    <x v="5"/>
    <x v="2"/>
    <n v="1"/>
    <n v="3000"/>
    <n v="0"/>
    <n v="3000"/>
    <x v="7"/>
  </r>
  <r>
    <n v="1034"/>
    <x v="31"/>
    <s v="Priya"/>
    <x v="3"/>
    <x v="2"/>
    <x v="1"/>
    <n v="4"/>
    <n v="1500"/>
    <n v="0.15"/>
    <n v="5100"/>
    <x v="8"/>
  </r>
  <r>
    <n v="1035"/>
    <x v="32"/>
    <s v="Anjali"/>
    <x v="2"/>
    <x v="2"/>
    <x v="1"/>
    <n v="3"/>
    <n v="1500"/>
    <n v="0"/>
    <n v="4500"/>
    <x v="0"/>
  </r>
  <r>
    <n v="1036"/>
    <x v="33"/>
    <s v="Pooja"/>
    <x v="7"/>
    <x v="6"/>
    <x v="0"/>
    <n v="2"/>
    <n v="12000"/>
    <n v="0.15"/>
    <n v="20400"/>
    <x v="1"/>
  </r>
  <r>
    <n v="1037"/>
    <x v="25"/>
    <s v="Priya"/>
    <x v="3"/>
    <x v="5"/>
    <x v="2"/>
    <n v="1"/>
    <n v="3000"/>
    <n v="0.15"/>
    <n v="2550"/>
    <x v="2"/>
  </r>
  <r>
    <n v="1038"/>
    <x v="34"/>
    <s v="Kavya"/>
    <x v="7"/>
    <x v="1"/>
    <x v="0"/>
    <n v="1"/>
    <n v="50000"/>
    <n v="0.05"/>
    <n v="47500"/>
    <x v="9"/>
  </r>
  <r>
    <n v="1039"/>
    <x v="35"/>
    <s v="Rohit"/>
    <x v="6"/>
    <x v="6"/>
    <x v="0"/>
    <n v="2"/>
    <n v="12000"/>
    <n v="0.15"/>
    <n v="20400"/>
    <x v="8"/>
  </r>
  <r>
    <n v="1040"/>
    <x v="9"/>
    <s v="Vikas"/>
    <x v="6"/>
    <x v="1"/>
    <x v="0"/>
    <n v="4"/>
    <n v="50000"/>
    <n v="0.1"/>
    <n v="180000"/>
    <x v="6"/>
  </r>
  <r>
    <n v="1041"/>
    <x v="36"/>
    <s v="Anjali"/>
    <x v="3"/>
    <x v="6"/>
    <x v="0"/>
    <n v="2"/>
    <n v="12000"/>
    <n v="0.05"/>
    <n v="22800"/>
    <x v="0"/>
  </r>
  <r>
    <n v="1042"/>
    <x v="37"/>
    <s v="Simran"/>
    <x v="0"/>
    <x v="1"/>
    <x v="0"/>
    <n v="3"/>
    <n v="50000"/>
    <n v="0"/>
    <n v="150000"/>
    <x v="8"/>
  </r>
  <r>
    <n v="1786"/>
    <x v="38"/>
    <s v="Vikas"/>
    <x v="7"/>
    <x v="1"/>
    <x v="0"/>
    <n v="5"/>
    <n v="50000"/>
    <n v="0.05"/>
    <n v="237500"/>
    <x v="4"/>
  </r>
  <r>
    <n v="1044"/>
    <x v="39"/>
    <s v="Sanjay"/>
    <x v="3"/>
    <x v="5"/>
    <x v="2"/>
    <n v="4"/>
    <n v="3000"/>
    <n v="0"/>
    <n v="12000"/>
    <x v="2"/>
  </r>
  <r>
    <n v="1045"/>
    <x v="40"/>
    <s v="Anjali"/>
    <x v="4"/>
    <x v="0"/>
    <x v="0"/>
    <n v="4"/>
    <n v="20000"/>
    <n v="0.1"/>
    <n v="72000"/>
    <x v="0"/>
  </r>
  <r>
    <n v="1046"/>
    <x v="41"/>
    <s v="Vikas"/>
    <x v="7"/>
    <x v="5"/>
    <x v="2"/>
    <n v="3"/>
    <n v="3000"/>
    <n v="0.15"/>
    <n v="7650"/>
    <x v="9"/>
  </r>
  <r>
    <n v="1047"/>
    <x v="42"/>
    <s v="Priya"/>
    <x v="1"/>
    <x v="4"/>
    <x v="1"/>
    <n v="1"/>
    <n v="2000"/>
    <n v="0"/>
    <n v="2000"/>
    <x v="6"/>
  </r>
  <r>
    <n v="1999"/>
    <x v="43"/>
    <s v="Arjun"/>
    <x v="1"/>
    <x v="1"/>
    <x v="0"/>
    <n v="5"/>
    <n v="50000"/>
    <n v="0.05"/>
    <n v="237500"/>
    <x v="11"/>
  </r>
  <r>
    <n v="1049"/>
    <x v="44"/>
    <s v="Manish"/>
    <x v="5"/>
    <x v="5"/>
    <x v="2"/>
    <n v="3"/>
    <n v="3000"/>
    <n v="0.1"/>
    <n v="8100"/>
    <x v="9"/>
  </r>
  <r>
    <n v="1050"/>
    <x v="45"/>
    <s v="Priya"/>
    <x v="0"/>
    <x v="1"/>
    <x v="0"/>
    <n v="5"/>
    <n v="50000"/>
    <n v="0.1"/>
    <n v="225000"/>
    <x v="7"/>
  </r>
  <r>
    <n v="1051"/>
    <x v="46"/>
    <s v="Karan"/>
    <x v="5"/>
    <x v="7"/>
    <x v="2"/>
    <n v="1"/>
    <n v="7000"/>
    <n v="0"/>
    <n v="7000"/>
    <x v="2"/>
  </r>
  <r>
    <n v="1257"/>
    <x v="47"/>
    <s v="Kavya"/>
    <x v="0"/>
    <x v="1"/>
    <x v="0"/>
    <n v="5"/>
    <n v="50000"/>
    <n v="0.1"/>
    <n v="225000"/>
    <x v="0"/>
  </r>
  <r>
    <n v="1053"/>
    <x v="48"/>
    <s v="Kavya"/>
    <x v="5"/>
    <x v="6"/>
    <x v="0"/>
    <n v="3"/>
    <n v="12000"/>
    <n v="0"/>
    <n v="36000"/>
    <x v="10"/>
  </r>
  <r>
    <n v="1054"/>
    <x v="49"/>
    <s v="Pooja"/>
    <x v="0"/>
    <x v="1"/>
    <x v="0"/>
    <n v="1"/>
    <n v="50000"/>
    <n v="0.1"/>
    <n v="45000"/>
    <x v="9"/>
  </r>
  <r>
    <n v="1586"/>
    <x v="50"/>
    <s v="Vikas"/>
    <x v="5"/>
    <x v="1"/>
    <x v="0"/>
    <n v="5"/>
    <n v="50000"/>
    <n v="0.1"/>
    <n v="225000"/>
    <x v="2"/>
  </r>
  <r>
    <n v="1056"/>
    <x v="51"/>
    <s v="Karan"/>
    <x v="6"/>
    <x v="0"/>
    <x v="0"/>
    <n v="2"/>
    <n v="20000"/>
    <n v="0"/>
    <n v="40000"/>
    <x v="3"/>
  </r>
  <r>
    <n v="1057"/>
    <x v="52"/>
    <s v="Aman"/>
    <x v="4"/>
    <x v="3"/>
    <x v="0"/>
    <n v="1"/>
    <n v="30000"/>
    <n v="0.1"/>
    <n v="27000"/>
    <x v="3"/>
  </r>
  <r>
    <n v="1058"/>
    <x v="53"/>
    <s v="Kavya"/>
    <x v="0"/>
    <x v="5"/>
    <x v="2"/>
    <n v="2"/>
    <n v="3000"/>
    <n v="0"/>
    <n v="6000"/>
    <x v="4"/>
  </r>
  <r>
    <n v="1059"/>
    <x v="54"/>
    <s v="Ravi"/>
    <x v="0"/>
    <x v="5"/>
    <x v="2"/>
    <n v="2"/>
    <n v="3000"/>
    <n v="0.05"/>
    <n v="5700"/>
    <x v="3"/>
  </r>
  <r>
    <n v="1060"/>
    <x v="55"/>
    <s v="Rohit"/>
    <x v="1"/>
    <x v="4"/>
    <x v="1"/>
    <n v="4"/>
    <n v="2000"/>
    <n v="0.05"/>
    <n v="7600"/>
    <x v="0"/>
  </r>
  <r>
    <n v="1061"/>
    <x v="56"/>
    <s v="Anjali"/>
    <x v="7"/>
    <x v="2"/>
    <x v="1"/>
    <n v="1"/>
    <n v="1500"/>
    <n v="0.15"/>
    <n v="1275"/>
    <x v="1"/>
  </r>
  <r>
    <n v="1062"/>
    <x v="57"/>
    <s v="Ravi"/>
    <x v="2"/>
    <x v="4"/>
    <x v="1"/>
    <n v="3"/>
    <n v="2000"/>
    <n v="0.05"/>
    <n v="5700"/>
    <x v="1"/>
  </r>
  <r>
    <n v="1063"/>
    <x v="58"/>
    <s v="Pooja"/>
    <x v="4"/>
    <x v="2"/>
    <x v="1"/>
    <n v="3"/>
    <n v="1500"/>
    <n v="0.1"/>
    <n v="4050"/>
    <x v="10"/>
  </r>
  <r>
    <n v="1673"/>
    <x v="59"/>
    <s v="Manish"/>
    <x v="7"/>
    <x v="1"/>
    <x v="0"/>
    <n v="5"/>
    <n v="50000"/>
    <n v="0.1"/>
    <n v="225000"/>
    <x v="11"/>
  </r>
  <r>
    <n v="1757"/>
    <x v="60"/>
    <s v="Rohit"/>
    <x v="7"/>
    <x v="1"/>
    <x v="0"/>
    <n v="5"/>
    <n v="50000"/>
    <n v="0.1"/>
    <n v="225000"/>
    <x v="3"/>
  </r>
  <r>
    <n v="1066"/>
    <x v="61"/>
    <s v="Priya"/>
    <x v="6"/>
    <x v="4"/>
    <x v="1"/>
    <n v="3"/>
    <n v="2000"/>
    <n v="0.15"/>
    <n v="5100"/>
    <x v="5"/>
  </r>
  <r>
    <n v="1067"/>
    <x v="62"/>
    <s v="Kavya"/>
    <x v="3"/>
    <x v="5"/>
    <x v="2"/>
    <n v="3"/>
    <n v="3000"/>
    <n v="0"/>
    <n v="9000"/>
    <x v="7"/>
  </r>
  <r>
    <n v="1068"/>
    <x v="58"/>
    <s v="Rahul"/>
    <x v="4"/>
    <x v="5"/>
    <x v="2"/>
    <n v="3"/>
    <n v="3000"/>
    <n v="0.15"/>
    <n v="7650"/>
    <x v="10"/>
  </r>
  <r>
    <n v="1069"/>
    <x v="63"/>
    <s v="Kavya"/>
    <x v="4"/>
    <x v="0"/>
    <x v="0"/>
    <n v="3"/>
    <n v="20000"/>
    <n v="0.1"/>
    <n v="54000"/>
    <x v="7"/>
  </r>
  <r>
    <n v="1070"/>
    <x v="64"/>
    <s v="Kavya"/>
    <x v="6"/>
    <x v="2"/>
    <x v="1"/>
    <n v="3"/>
    <n v="1500"/>
    <n v="0.05"/>
    <n v="4275"/>
    <x v="1"/>
  </r>
  <r>
    <n v="1863"/>
    <x v="65"/>
    <s v="Karan"/>
    <x v="4"/>
    <x v="1"/>
    <x v="0"/>
    <n v="5"/>
    <n v="50000"/>
    <n v="0.1"/>
    <n v="225000"/>
    <x v="1"/>
  </r>
  <r>
    <n v="1072"/>
    <x v="66"/>
    <s v="Rahul"/>
    <x v="7"/>
    <x v="7"/>
    <x v="2"/>
    <n v="2"/>
    <n v="7000"/>
    <n v="0.15"/>
    <n v="11900"/>
    <x v="2"/>
  </r>
  <r>
    <n v="1073"/>
    <x v="67"/>
    <s v="Simran"/>
    <x v="0"/>
    <x v="6"/>
    <x v="0"/>
    <n v="4"/>
    <n v="12000"/>
    <n v="0.05"/>
    <n v="45600"/>
    <x v="11"/>
  </r>
  <r>
    <n v="1074"/>
    <x v="48"/>
    <s v="Sanjay"/>
    <x v="5"/>
    <x v="0"/>
    <x v="0"/>
    <n v="3"/>
    <n v="20000"/>
    <n v="0.1"/>
    <n v="54000"/>
    <x v="10"/>
  </r>
  <r>
    <n v="1075"/>
    <x v="14"/>
    <s v="Aman"/>
    <x v="2"/>
    <x v="5"/>
    <x v="2"/>
    <n v="2"/>
    <n v="3000"/>
    <n v="0.05"/>
    <n v="5700"/>
    <x v="8"/>
  </r>
  <r>
    <n v="1871"/>
    <x v="61"/>
    <s v="Sanjay"/>
    <x v="2"/>
    <x v="1"/>
    <x v="0"/>
    <n v="5"/>
    <n v="50000"/>
    <n v="0.1"/>
    <n v="225000"/>
    <x v="5"/>
  </r>
  <r>
    <n v="1077"/>
    <x v="68"/>
    <s v="Karan"/>
    <x v="3"/>
    <x v="2"/>
    <x v="1"/>
    <n v="4"/>
    <n v="1500"/>
    <n v="0.15"/>
    <n v="5100"/>
    <x v="0"/>
  </r>
  <r>
    <n v="1078"/>
    <x v="69"/>
    <s v="Manish"/>
    <x v="3"/>
    <x v="0"/>
    <x v="0"/>
    <n v="4"/>
    <n v="20000"/>
    <n v="0.05"/>
    <n v="76000"/>
    <x v="9"/>
  </r>
  <r>
    <n v="1079"/>
    <x v="70"/>
    <s v="Manish"/>
    <x v="4"/>
    <x v="5"/>
    <x v="2"/>
    <n v="1"/>
    <n v="3000"/>
    <n v="0.15"/>
    <n v="2550"/>
    <x v="9"/>
  </r>
  <r>
    <n v="1891"/>
    <x v="71"/>
    <s v="Manish"/>
    <x v="7"/>
    <x v="1"/>
    <x v="0"/>
    <n v="5"/>
    <n v="50000"/>
    <n v="0.1"/>
    <n v="225000"/>
    <x v="8"/>
  </r>
  <r>
    <n v="1081"/>
    <x v="72"/>
    <s v="Pooja"/>
    <x v="7"/>
    <x v="6"/>
    <x v="0"/>
    <n v="4"/>
    <n v="12000"/>
    <n v="0.1"/>
    <n v="43200"/>
    <x v="0"/>
  </r>
  <r>
    <n v="1082"/>
    <x v="73"/>
    <s v="Vikas"/>
    <x v="2"/>
    <x v="5"/>
    <x v="2"/>
    <n v="3"/>
    <n v="3000"/>
    <n v="0.15"/>
    <n v="7650"/>
    <x v="10"/>
  </r>
  <r>
    <n v="1083"/>
    <x v="74"/>
    <s v="Neha"/>
    <x v="0"/>
    <x v="7"/>
    <x v="2"/>
    <n v="3"/>
    <n v="7000"/>
    <n v="0.1"/>
    <n v="18900"/>
    <x v="2"/>
  </r>
  <r>
    <n v="1084"/>
    <x v="75"/>
    <s v="Karan"/>
    <x v="2"/>
    <x v="3"/>
    <x v="0"/>
    <n v="2"/>
    <n v="30000"/>
    <n v="0.15"/>
    <n v="51000"/>
    <x v="7"/>
  </r>
  <r>
    <n v="1085"/>
    <x v="76"/>
    <s v="Manish"/>
    <x v="6"/>
    <x v="0"/>
    <x v="0"/>
    <n v="4"/>
    <n v="20000"/>
    <n v="0.15"/>
    <n v="68000"/>
    <x v="4"/>
  </r>
  <r>
    <n v="1086"/>
    <x v="77"/>
    <s v="Ravi"/>
    <x v="6"/>
    <x v="1"/>
    <x v="0"/>
    <n v="2"/>
    <n v="50000"/>
    <n v="0.15"/>
    <n v="85000"/>
    <x v="3"/>
  </r>
  <r>
    <n v="1087"/>
    <x v="78"/>
    <s v="Arjun"/>
    <x v="6"/>
    <x v="6"/>
    <x v="0"/>
    <n v="1"/>
    <n v="12000"/>
    <n v="0.1"/>
    <n v="10800"/>
    <x v="4"/>
  </r>
  <r>
    <n v="1088"/>
    <x v="79"/>
    <s v="Kavya"/>
    <x v="7"/>
    <x v="5"/>
    <x v="2"/>
    <n v="4"/>
    <n v="3000"/>
    <n v="0.05"/>
    <n v="11400"/>
    <x v="0"/>
  </r>
  <r>
    <n v="1089"/>
    <x v="80"/>
    <s v="Arjun"/>
    <x v="0"/>
    <x v="1"/>
    <x v="0"/>
    <n v="4"/>
    <n v="50000"/>
    <n v="0.1"/>
    <n v="180000"/>
    <x v="7"/>
  </r>
  <r>
    <n v="1090"/>
    <x v="60"/>
    <s v="Ravi"/>
    <x v="1"/>
    <x v="6"/>
    <x v="0"/>
    <n v="2"/>
    <n v="12000"/>
    <n v="0"/>
    <n v="24000"/>
    <x v="3"/>
  </r>
  <r>
    <n v="1091"/>
    <x v="33"/>
    <s v="Aman"/>
    <x v="5"/>
    <x v="2"/>
    <x v="1"/>
    <n v="2"/>
    <n v="1500"/>
    <n v="0.15"/>
    <n v="2550"/>
    <x v="1"/>
  </r>
  <r>
    <n v="1092"/>
    <x v="9"/>
    <s v="Rahul"/>
    <x v="4"/>
    <x v="2"/>
    <x v="1"/>
    <n v="3"/>
    <n v="1500"/>
    <n v="0.05"/>
    <n v="4275"/>
    <x v="6"/>
  </r>
  <r>
    <n v="1093"/>
    <x v="81"/>
    <s v="Neha"/>
    <x v="7"/>
    <x v="2"/>
    <x v="1"/>
    <n v="3"/>
    <n v="1500"/>
    <n v="0.15"/>
    <n v="3825"/>
    <x v="0"/>
  </r>
  <r>
    <n v="1923"/>
    <x v="82"/>
    <s v="Anjali"/>
    <x v="4"/>
    <x v="1"/>
    <x v="0"/>
    <n v="5"/>
    <n v="50000"/>
    <n v="0.1"/>
    <n v="225000"/>
    <x v="5"/>
  </r>
  <r>
    <n v="1095"/>
    <x v="83"/>
    <s v="Ravi"/>
    <x v="0"/>
    <x v="1"/>
    <x v="0"/>
    <n v="1"/>
    <n v="50000"/>
    <n v="0.05"/>
    <n v="47500"/>
    <x v="1"/>
  </r>
  <r>
    <n v="1096"/>
    <x v="80"/>
    <s v="Priya"/>
    <x v="2"/>
    <x v="5"/>
    <x v="2"/>
    <n v="2"/>
    <n v="3000"/>
    <n v="0.15"/>
    <n v="5100"/>
    <x v="7"/>
  </r>
  <r>
    <n v="1097"/>
    <x v="34"/>
    <s v="Priya"/>
    <x v="0"/>
    <x v="6"/>
    <x v="0"/>
    <n v="3"/>
    <n v="12000"/>
    <n v="0.1"/>
    <n v="32400"/>
    <x v="9"/>
  </r>
  <r>
    <n v="1098"/>
    <x v="26"/>
    <s v="Arjun"/>
    <x v="6"/>
    <x v="7"/>
    <x v="2"/>
    <n v="1"/>
    <n v="7000"/>
    <n v="0"/>
    <n v="7000"/>
    <x v="4"/>
  </r>
  <r>
    <n v="1099"/>
    <x v="84"/>
    <s v="Vikas"/>
    <x v="1"/>
    <x v="5"/>
    <x v="2"/>
    <n v="1"/>
    <n v="3000"/>
    <n v="0.05"/>
    <n v="2850"/>
    <x v="10"/>
  </r>
  <r>
    <n v="1100"/>
    <x v="85"/>
    <s v="Sneha"/>
    <x v="1"/>
    <x v="1"/>
    <x v="0"/>
    <n v="3"/>
    <n v="50000"/>
    <n v="0.15"/>
    <n v="127500"/>
    <x v="7"/>
  </r>
  <r>
    <n v="1101"/>
    <x v="43"/>
    <s v="Priya"/>
    <x v="6"/>
    <x v="4"/>
    <x v="1"/>
    <n v="1"/>
    <n v="2000"/>
    <n v="0.15"/>
    <n v="1700"/>
    <x v="11"/>
  </r>
  <r>
    <n v="1102"/>
    <x v="20"/>
    <s v="Rohit"/>
    <x v="5"/>
    <x v="4"/>
    <x v="1"/>
    <n v="4"/>
    <n v="2000"/>
    <n v="0.05"/>
    <n v="7600"/>
    <x v="6"/>
  </r>
  <r>
    <n v="1103"/>
    <x v="86"/>
    <s v="Pooja"/>
    <x v="4"/>
    <x v="6"/>
    <x v="0"/>
    <n v="4"/>
    <n v="12000"/>
    <n v="0.15"/>
    <n v="40800"/>
    <x v="2"/>
  </r>
  <r>
    <n v="1104"/>
    <x v="12"/>
    <s v="Sanjay"/>
    <x v="7"/>
    <x v="5"/>
    <x v="2"/>
    <n v="1"/>
    <n v="3000"/>
    <n v="0.1"/>
    <n v="2700"/>
    <x v="6"/>
  </r>
  <r>
    <n v="1105"/>
    <x v="87"/>
    <s v="Rahul"/>
    <x v="0"/>
    <x v="2"/>
    <x v="1"/>
    <n v="3"/>
    <n v="1500"/>
    <n v="0"/>
    <n v="4500"/>
    <x v="11"/>
  </r>
  <r>
    <n v="1106"/>
    <x v="88"/>
    <s v="Rahul"/>
    <x v="5"/>
    <x v="6"/>
    <x v="0"/>
    <n v="2"/>
    <n v="12000"/>
    <n v="0.1"/>
    <n v="21600"/>
    <x v="0"/>
  </r>
  <r>
    <n v="1382"/>
    <x v="30"/>
    <s v="Simran"/>
    <x v="3"/>
    <x v="1"/>
    <x v="0"/>
    <n v="5"/>
    <n v="50000"/>
    <n v="0.15"/>
    <n v="212500"/>
    <x v="7"/>
  </r>
  <r>
    <n v="1108"/>
    <x v="89"/>
    <s v="Sanjay"/>
    <x v="7"/>
    <x v="5"/>
    <x v="2"/>
    <n v="4"/>
    <n v="3000"/>
    <n v="0.15"/>
    <n v="10200"/>
    <x v="2"/>
  </r>
  <r>
    <n v="1109"/>
    <x v="48"/>
    <s v="Vikas"/>
    <x v="2"/>
    <x v="6"/>
    <x v="0"/>
    <n v="4"/>
    <n v="12000"/>
    <n v="0"/>
    <n v="48000"/>
    <x v="10"/>
  </r>
  <r>
    <n v="1110"/>
    <x v="45"/>
    <s v="Sneha"/>
    <x v="7"/>
    <x v="2"/>
    <x v="1"/>
    <n v="2"/>
    <n v="1500"/>
    <n v="0.1"/>
    <n v="2700"/>
    <x v="7"/>
  </r>
  <r>
    <n v="1111"/>
    <x v="90"/>
    <s v="Manish"/>
    <x v="5"/>
    <x v="4"/>
    <x v="1"/>
    <n v="4"/>
    <n v="2000"/>
    <n v="0.1"/>
    <n v="7200"/>
    <x v="4"/>
  </r>
  <r>
    <n v="1112"/>
    <x v="91"/>
    <s v="Anjali"/>
    <x v="4"/>
    <x v="7"/>
    <x v="2"/>
    <n v="3"/>
    <n v="7000"/>
    <n v="0.05"/>
    <n v="19950"/>
    <x v="9"/>
  </r>
  <r>
    <n v="1383"/>
    <x v="71"/>
    <s v="Ravi"/>
    <x v="5"/>
    <x v="1"/>
    <x v="0"/>
    <n v="5"/>
    <n v="50000"/>
    <n v="0.15"/>
    <n v="212500"/>
    <x v="8"/>
  </r>
  <r>
    <n v="1589"/>
    <x v="85"/>
    <s v="Rahul"/>
    <x v="0"/>
    <x v="1"/>
    <x v="0"/>
    <n v="5"/>
    <n v="50000"/>
    <n v="0.15"/>
    <n v="212500"/>
    <x v="7"/>
  </r>
  <r>
    <n v="1115"/>
    <x v="92"/>
    <s v="Ravi"/>
    <x v="0"/>
    <x v="5"/>
    <x v="2"/>
    <n v="3"/>
    <n v="3000"/>
    <n v="0.05"/>
    <n v="8550"/>
    <x v="4"/>
  </r>
  <r>
    <n v="1116"/>
    <x v="46"/>
    <s v="Vikas"/>
    <x v="0"/>
    <x v="7"/>
    <x v="2"/>
    <n v="1"/>
    <n v="7000"/>
    <n v="0"/>
    <n v="7000"/>
    <x v="2"/>
  </r>
  <r>
    <n v="1117"/>
    <x v="93"/>
    <s v="Vikas"/>
    <x v="7"/>
    <x v="6"/>
    <x v="0"/>
    <n v="1"/>
    <n v="12000"/>
    <n v="0"/>
    <n v="12000"/>
    <x v="2"/>
  </r>
  <r>
    <n v="1118"/>
    <x v="94"/>
    <s v="Aman"/>
    <x v="5"/>
    <x v="6"/>
    <x v="0"/>
    <n v="4"/>
    <n v="12000"/>
    <n v="0.1"/>
    <n v="43200"/>
    <x v="1"/>
  </r>
  <r>
    <n v="1119"/>
    <x v="13"/>
    <s v="Simran"/>
    <x v="1"/>
    <x v="6"/>
    <x v="0"/>
    <n v="1"/>
    <n v="12000"/>
    <n v="0"/>
    <n v="12000"/>
    <x v="3"/>
  </r>
  <r>
    <n v="1120"/>
    <x v="95"/>
    <s v="Vikas"/>
    <x v="1"/>
    <x v="1"/>
    <x v="0"/>
    <n v="2"/>
    <n v="50000"/>
    <n v="0.05"/>
    <n v="95000"/>
    <x v="2"/>
  </r>
  <r>
    <n v="1121"/>
    <x v="61"/>
    <s v="Sanjay"/>
    <x v="6"/>
    <x v="5"/>
    <x v="2"/>
    <n v="1"/>
    <n v="3000"/>
    <n v="0.15"/>
    <n v="2550"/>
    <x v="5"/>
  </r>
  <r>
    <n v="1122"/>
    <x v="3"/>
    <s v="Kavya"/>
    <x v="5"/>
    <x v="6"/>
    <x v="0"/>
    <n v="4"/>
    <n v="12000"/>
    <n v="0.1"/>
    <n v="43200"/>
    <x v="2"/>
  </r>
  <r>
    <n v="1689"/>
    <x v="96"/>
    <s v="Neha"/>
    <x v="5"/>
    <x v="1"/>
    <x v="0"/>
    <n v="5"/>
    <n v="50000"/>
    <n v="0.15"/>
    <n v="212500"/>
    <x v="5"/>
  </r>
  <r>
    <n v="1124"/>
    <x v="97"/>
    <s v="Neha"/>
    <x v="0"/>
    <x v="0"/>
    <x v="0"/>
    <n v="2"/>
    <n v="20000"/>
    <n v="0.05"/>
    <n v="38000"/>
    <x v="9"/>
  </r>
  <r>
    <n v="1125"/>
    <x v="98"/>
    <s v="Simran"/>
    <x v="5"/>
    <x v="1"/>
    <x v="0"/>
    <n v="4"/>
    <n v="50000"/>
    <n v="0.15"/>
    <n v="170000"/>
    <x v="7"/>
  </r>
  <r>
    <n v="1126"/>
    <x v="99"/>
    <s v="Vikas"/>
    <x v="7"/>
    <x v="1"/>
    <x v="0"/>
    <n v="2"/>
    <n v="50000"/>
    <n v="0.1"/>
    <n v="90000"/>
    <x v="7"/>
  </r>
  <r>
    <n v="1127"/>
    <x v="100"/>
    <s v="Anjali"/>
    <x v="6"/>
    <x v="0"/>
    <x v="0"/>
    <n v="2"/>
    <n v="20000"/>
    <n v="0.1"/>
    <n v="36000"/>
    <x v="5"/>
  </r>
  <r>
    <n v="1820"/>
    <x v="101"/>
    <s v="Simran"/>
    <x v="5"/>
    <x v="1"/>
    <x v="0"/>
    <n v="5"/>
    <n v="50000"/>
    <n v="0.15"/>
    <n v="212500"/>
    <x v="7"/>
  </r>
  <r>
    <n v="1129"/>
    <x v="102"/>
    <s v="Vikas"/>
    <x v="5"/>
    <x v="3"/>
    <x v="0"/>
    <n v="1"/>
    <n v="30000"/>
    <n v="0"/>
    <n v="30000"/>
    <x v="9"/>
  </r>
  <r>
    <n v="1130"/>
    <x v="98"/>
    <s v="Vikas"/>
    <x v="6"/>
    <x v="6"/>
    <x v="0"/>
    <n v="1"/>
    <n v="12000"/>
    <n v="0.15"/>
    <n v="10200"/>
    <x v="7"/>
  </r>
  <r>
    <n v="1843"/>
    <x v="103"/>
    <s v="Neha"/>
    <x v="6"/>
    <x v="1"/>
    <x v="0"/>
    <n v="5"/>
    <n v="50000"/>
    <n v="0.15"/>
    <n v="212500"/>
    <x v="0"/>
  </r>
  <r>
    <n v="1132"/>
    <x v="104"/>
    <s v="Neha"/>
    <x v="2"/>
    <x v="2"/>
    <x v="1"/>
    <n v="3"/>
    <n v="1500"/>
    <n v="0.1"/>
    <n v="4050"/>
    <x v="8"/>
  </r>
  <r>
    <n v="1133"/>
    <x v="105"/>
    <s v="Simran"/>
    <x v="7"/>
    <x v="1"/>
    <x v="0"/>
    <n v="3"/>
    <n v="50000"/>
    <n v="0"/>
    <n v="150000"/>
    <x v="9"/>
  </r>
  <r>
    <n v="1134"/>
    <x v="106"/>
    <s v="Simran"/>
    <x v="1"/>
    <x v="7"/>
    <x v="2"/>
    <n v="2"/>
    <n v="7000"/>
    <n v="0.15"/>
    <n v="11900"/>
    <x v="5"/>
  </r>
  <r>
    <n v="1135"/>
    <x v="107"/>
    <s v="Rahul"/>
    <x v="1"/>
    <x v="6"/>
    <x v="0"/>
    <n v="3"/>
    <n v="12000"/>
    <n v="0.15"/>
    <n v="30600"/>
    <x v="4"/>
  </r>
  <r>
    <n v="1136"/>
    <x v="75"/>
    <s v="Simran"/>
    <x v="5"/>
    <x v="3"/>
    <x v="0"/>
    <n v="3"/>
    <n v="30000"/>
    <n v="0.15"/>
    <n v="76500"/>
    <x v="7"/>
  </r>
  <r>
    <n v="1958"/>
    <x v="108"/>
    <s v="Sneha"/>
    <x v="1"/>
    <x v="1"/>
    <x v="0"/>
    <n v="5"/>
    <n v="50000"/>
    <n v="0.15"/>
    <n v="212500"/>
    <x v="7"/>
  </r>
  <r>
    <n v="1138"/>
    <x v="109"/>
    <s v="Ravi"/>
    <x v="7"/>
    <x v="7"/>
    <x v="2"/>
    <n v="3"/>
    <n v="7000"/>
    <n v="0"/>
    <n v="21000"/>
    <x v="3"/>
  </r>
  <r>
    <n v="1139"/>
    <x v="110"/>
    <s v="Sneha"/>
    <x v="7"/>
    <x v="2"/>
    <x v="1"/>
    <n v="1"/>
    <n v="1500"/>
    <n v="0.05"/>
    <n v="1425"/>
    <x v="11"/>
  </r>
  <r>
    <n v="1140"/>
    <x v="55"/>
    <s v="Karan"/>
    <x v="5"/>
    <x v="6"/>
    <x v="0"/>
    <n v="1"/>
    <n v="12000"/>
    <n v="0.05"/>
    <n v="11400"/>
    <x v="0"/>
  </r>
  <r>
    <n v="1141"/>
    <x v="111"/>
    <s v="Sanjay"/>
    <x v="0"/>
    <x v="6"/>
    <x v="0"/>
    <n v="4"/>
    <n v="12000"/>
    <n v="0"/>
    <n v="48000"/>
    <x v="8"/>
  </r>
  <r>
    <n v="1992"/>
    <x v="112"/>
    <s v="Kavya"/>
    <x v="6"/>
    <x v="1"/>
    <x v="0"/>
    <n v="5"/>
    <n v="50000"/>
    <n v="0.15"/>
    <n v="212500"/>
    <x v="11"/>
  </r>
  <r>
    <n v="1143"/>
    <x v="113"/>
    <s v="Karan"/>
    <x v="7"/>
    <x v="5"/>
    <x v="2"/>
    <n v="1"/>
    <n v="3000"/>
    <n v="0.15"/>
    <n v="2550"/>
    <x v="9"/>
  </r>
  <r>
    <n v="1420"/>
    <x v="95"/>
    <s v="Arjun"/>
    <x v="4"/>
    <x v="3"/>
    <x v="0"/>
    <n v="5"/>
    <n v="30000"/>
    <n v="0"/>
    <n v="150000"/>
    <x v="2"/>
  </r>
  <r>
    <n v="1145"/>
    <x v="114"/>
    <s v="Anjali"/>
    <x v="0"/>
    <x v="5"/>
    <x v="2"/>
    <n v="4"/>
    <n v="3000"/>
    <n v="0.05"/>
    <n v="11400"/>
    <x v="3"/>
  </r>
  <r>
    <n v="1146"/>
    <x v="115"/>
    <s v="Pooja"/>
    <x v="3"/>
    <x v="0"/>
    <x v="0"/>
    <n v="3"/>
    <n v="20000"/>
    <n v="0.15"/>
    <n v="51000"/>
    <x v="4"/>
  </r>
  <r>
    <n v="1147"/>
    <x v="116"/>
    <s v="Manish"/>
    <x v="7"/>
    <x v="7"/>
    <x v="2"/>
    <n v="3"/>
    <n v="7000"/>
    <n v="0.15"/>
    <n v="17850"/>
    <x v="9"/>
  </r>
  <r>
    <n v="1148"/>
    <x v="117"/>
    <s v="Rahul"/>
    <x v="2"/>
    <x v="4"/>
    <x v="1"/>
    <n v="3"/>
    <n v="2000"/>
    <n v="0.15"/>
    <n v="5100"/>
    <x v="6"/>
  </r>
  <r>
    <n v="1566"/>
    <x v="118"/>
    <s v="Priya"/>
    <x v="5"/>
    <x v="3"/>
    <x v="0"/>
    <n v="5"/>
    <n v="30000"/>
    <n v="0"/>
    <n v="150000"/>
    <x v="10"/>
  </r>
  <r>
    <n v="1150"/>
    <x v="119"/>
    <s v="Karan"/>
    <x v="7"/>
    <x v="4"/>
    <x v="1"/>
    <n v="4"/>
    <n v="2000"/>
    <n v="0.15"/>
    <n v="6800"/>
    <x v="3"/>
  </r>
  <r>
    <n v="1151"/>
    <x v="120"/>
    <s v="Manish"/>
    <x v="1"/>
    <x v="1"/>
    <x v="0"/>
    <n v="2"/>
    <n v="50000"/>
    <n v="0.1"/>
    <n v="90000"/>
    <x v="10"/>
  </r>
  <r>
    <n v="1152"/>
    <x v="121"/>
    <s v="Karan"/>
    <x v="1"/>
    <x v="6"/>
    <x v="0"/>
    <n v="1"/>
    <n v="12000"/>
    <n v="0.05"/>
    <n v="11400"/>
    <x v="3"/>
  </r>
  <r>
    <n v="1153"/>
    <x v="122"/>
    <s v="Arjun"/>
    <x v="1"/>
    <x v="6"/>
    <x v="0"/>
    <n v="3"/>
    <n v="12000"/>
    <n v="0.1"/>
    <n v="32400"/>
    <x v="5"/>
  </r>
  <r>
    <n v="1575"/>
    <x v="97"/>
    <s v="Anjali"/>
    <x v="2"/>
    <x v="3"/>
    <x v="0"/>
    <n v="5"/>
    <n v="30000"/>
    <n v="0"/>
    <n v="150000"/>
    <x v="9"/>
  </r>
  <r>
    <n v="1155"/>
    <x v="123"/>
    <s v="Neha"/>
    <x v="6"/>
    <x v="0"/>
    <x v="0"/>
    <n v="2"/>
    <n v="20000"/>
    <n v="0.1"/>
    <n v="36000"/>
    <x v="1"/>
  </r>
  <r>
    <n v="1156"/>
    <x v="34"/>
    <s v="Vikas"/>
    <x v="3"/>
    <x v="0"/>
    <x v="0"/>
    <n v="1"/>
    <n v="20000"/>
    <n v="0.15"/>
    <n v="17000"/>
    <x v="9"/>
  </r>
  <r>
    <n v="1157"/>
    <x v="124"/>
    <s v="Sneha"/>
    <x v="4"/>
    <x v="1"/>
    <x v="0"/>
    <n v="3"/>
    <n v="50000"/>
    <n v="0"/>
    <n v="150000"/>
    <x v="0"/>
  </r>
  <r>
    <n v="1158"/>
    <x v="125"/>
    <s v="Kavya"/>
    <x v="0"/>
    <x v="2"/>
    <x v="1"/>
    <n v="2"/>
    <n v="1500"/>
    <n v="0.05"/>
    <n v="2850"/>
    <x v="11"/>
  </r>
  <r>
    <n v="1159"/>
    <x v="126"/>
    <s v="Arjun"/>
    <x v="2"/>
    <x v="3"/>
    <x v="0"/>
    <n v="2"/>
    <n v="30000"/>
    <n v="0"/>
    <n v="60000"/>
    <x v="5"/>
  </r>
  <r>
    <n v="1633"/>
    <x v="127"/>
    <s v="Rohit"/>
    <x v="7"/>
    <x v="3"/>
    <x v="0"/>
    <n v="5"/>
    <n v="30000"/>
    <n v="0"/>
    <n v="150000"/>
    <x v="8"/>
  </r>
  <r>
    <n v="1161"/>
    <x v="128"/>
    <s v="Vikas"/>
    <x v="0"/>
    <x v="6"/>
    <x v="0"/>
    <n v="3"/>
    <n v="12000"/>
    <n v="0"/>
    <n v="36000"/>
    <x v="6"/>
  </r>
  <r>
    <n v="1162"/>
    <x v="129"/>
    <s v="Vikas"/>
    <x v="6"/>
    <x v="0"/>
    <x v="0"/>
    <n v="4"/>
    <n v="20000"/>
    <n v="0.1"/>
    <n v="72000"/>
    <x v="2"/>
  </r>
  <r>
    <n v="1163"/>
    <x v="130"/>
    <s v="Arjun"/>
    <x v="7"/>
    <x v="7"/>
    <x v="2"/>
    <n v="4"/>
    <n v="7000"/>
    <n v="0.1"/>
    <n v="25200"/>
    <x v="1"/>
  </r>
  <r>
    <n v="1164"/>
    <x v="131"/>
    <s v="Sneha"/>
    <x v="5"/>
    <x v="0"/>
    <x v="0"/>
    <n v="2"/>
    <n v="20000"/>
    <n v="0.15"/>
    <n v="34000"/>
    <x v="2"/>
  </r>
  <r>
    <n v="1165"/>
    <x v="132"/>
    <s v="Ravi"/>
    <x v="3"/>
    <x v="7"/>
    <x v="2"/>
    <n v="1"/>
    <n v="7000"/>
    <n v="0.15"/>
    <n v="5950"/>
    <x v="0"/>
  </r>
  <r>
    <n v="1166"/>
    <x v="61"/>
    <s v="Sneha"/>
    <x v="2"/>
    <x v="6"/>
    <x v="0"/>
    <n v="3"/>
    <n v="12000"/>
    <n v="0.05"/>
    <n v="34200"/>
    <x v="5"/>
  </r>
  <r>
    <n v="1663"/>
    <x v="133"/>
    <s v="Aman"/>
    <x v="6"/>
    <x v="3"/>
    <x v="0"/>
    <n v="5"/>
    <n v="30000"/>
    <n v="0"/>
    <n v="150000"/>
    <x v="3"/>
  </r>
  <r>
    <n v="1168"/>
    <x v="134"/>
    <s v="Sneha"/>
    <x v="0"/>
    <x v="1"/>
    <x v="0"/>
    <n v="3"/>
    <n v="50000"/>
    <n v="0.15"/>
    <n v="127500"/>
    <x v="8"/>
  </r>
  <r>
    <n v="1169"/>
    <x v="135"/>
    <s v="Rohit"/>
    <x v="2"/>
    <x v="0"/>
    <x v="0"/>
    <n v="3"/>
    <n v="20000"/>
    <n v="0.1"/>
    <n v="54000"/>
    <x v="3"/>
  </r>
  <r>
    <n v="1675"/>
    <x v="100"/>
    <s v="Neha"/>
    <x v="2"/>
    <x v="3"/>
    <x v="0"/>
    <n v="5"/>
    <n v="30000"/>
    <n v="0"/>
    <n v="150000"/>
    <x v="5"/>
  </r>
  <r>
    <n v="1171"/>
    <x v="136"/>
    <s v="Priya"/>
    <x v="7"/>
    <x v="7"/>
    <x v="2"/>
    <n v="4"/>
    <n v="7000"/>
    <n v="0.1"/>
    <n v="25200"/>
    <x v="4"/>
  </r>
  <r>
    <n v="1172"/>
    <x v="137"/>
    <s v="Arjun"/>
    <x v="4"/>
    <x v="0"/>
    <x v="0"/>
    <n v="2"/>
    <n v="20000"/>
    <n v="0.05"/>
    <n v="38000"/>
    <x v="7"/>
  </r>
  <r>
    <n v="1173"/>
    <x v="138"/>
    <s v="Priya"/>
    <x v="7"/>
    <x v="0"/>
    <x v="0"/>
    <n v="4"/>
    <n v="20000"/>
    <n v="0"/>
    <n v="80000"/>
    <x v="0"/>
  </r>
  <r>
    <n v="1174"/>
    <x v="139"/>
    <s v="Sneha"/>
    <x v="1"/>
    <x v="4"/>
    <x v="1"/>
    <n v="3"/>
    <n v="2000"/>
    <n v="0.15"/>
    <n v="5100"/>
    <x v="5"/>
  </r>
  <r>
    <n v="1175"/>
    <x v="140"/>
    <s v="Rahul"/>
    <x v="2"/>
    <x v="5"/>
    <x v="2"/>
    <n v="4"/>
    <n v="3000"/>
    <n v="0"/>
    <n v="12000"/>
    <x v="5"/>
  </r>
  <r>
    <n v="1176"/>
    <x v="141"/>
    <s v="Kavya"/>
    <x v="1"/>
    <x v="0"/>
    <x v="0"/>
    <n v="4"/>
    <n v="20000"/>
    <n v="0.1"/>
    <n v="72000"/>
    <x v="5"/>
  </r>
  <r>
    <n v="1177"/>
    <x v="142"/>
    <s v="Simran"/>
    <x v="1"/>
    <x v="3"/>
    <x v="0"/>
    <n v="1"/>
    <n v="30000"/>
    <n v="0"/>
    <n v="30000"/>
    <x v="4"/>
  </r>
  <r>
    <n v="1178"/>
    <x v="143"/>
    <s v="Manish"/>
    <x v="4"/>
    <x v="0"/>
    <x v="0"/>
    <n v="2"/>
    <n v="20000"/>
    <n v="0.05"/>
    <n v="38000"/>
    <x v="3"/>
  </r>
  <r>
    <n v="1966"/>
    <x v="4"/>
    <s v="Pooja"/>
    <x v="0"/>
    <x v="3"/>
    <x v="0"/>
    <n v="5"/>
    <n v="30000"/>
    <n v="0"/>
    <n v="150000"/>
    <x v="0"/>
  </r>
  <r>
    <n v="1180"/>
    <x v="144"/>
    <s v="Sneha"/>
    <x v="2"/>
    <x v="2"/>
    <x v="1"/>
    <n v="3"/>
    <n v="1500"/>
    <n v="0"/>
    <n v="4500"/>
    <x v="7"/>
  </r>
  <r>
    <n v="1181"/>
    <x v="23"/>
    <s v="Priya"/>
    <x v="4"/>
    <x v="6"/>
    <x v="0"/>
    <n v="4"/>
    <n v="12000"/>
    <n v="0.05"/>
    <n v="45600"/>
    <x v="3"/>
  </r>
  <r>
    <n v="1182"/>
    <x v="145"/>
    <s v="Anjali"/>
    <x v="1"/>
    <x v="4"/>
    <x v="1"/>
    <n v="1"/>
    <n v="2000"/>
    <n v="0.15"/>
    <n v="1700"/>
    <x v="0"/>
  </r>
  <r>
    <n v="1183"/>
    <x v="146"/>
    <s v="Ravi"/>
    <x v="3"/>
    <x v="6"/>
    <x v="0"/>
    <n v="1"/>
    <n v="12000"/>
    <n v="0.05"/>
    <n v="11400"/>
    <x v="5"/>
  </r>
  <r>
    <n v="1184"/>
    <x v="147"/>
    <s v="Anjali"/>
    <x v="1"/>
    <x v="4"/>
    <x v="1"/>
    <n v="2"/>
    <n v="2000"/>
    <n v="0.05"/>
    <n v="3800"/>
    <x v="2"/>
  </r>
  <r>
    <n v="1012"/>
    <x v="148"/>
    <s v="Manish"/>
    <x v="6"/>
    <x v="3"/>
    <x v="0"/>
    <n v="5"/>
    <n v="30000"/>
    <n v="0.05"/>
    <n v="142500"/>
    <x v="9"/>
  </r>
  <r>
    <n v="1186"/>
    <x v="49"/>
    <s v="Pooja"/>
    <x v="0"/>
    <x v="1"/>
    <x v="0"/>
    <n v="3"/>
    <n v="50000"/>
    <n v="0.05"/>
    <n v="142500"/>
    <x v="9"/>
  </r>
  <r>
    <n v="1187"/>
    <x v="149"/>
    <s v="Sneha"/>
    <x v="2"/>
    <x v="0"/>
    <x v="0"/>
    <n v="1"/>
    <n v="20000"/>
    <n v="0.05"/>
    <n v="19000"/>
    <x v="8"/>
  </r>
  <r>
    <n v="1188"/>
    <x v="138"/>
    <s v="Aman"/>
    <x v="0"/>
    <x v="4"/>
    <x v="1"/>
    <n v="1"/>
    <n v="2000"/>
    <n v="0.05"/>
    <n v="1900"/>
    <x v="0"/>
  </r>
  <r>
    <n v="1311"/>
    <x v="150"/>
    <s v="Rahul"/>
    <x v="0"/>
    <x v="3"/>
    <x v="0"/>
    <n v="5"/>
    <n v="30000"/>
    <n v="0.05"/>
    <n v="142500"/>
    <x v="4"/>
  </r>
  <r>
    <n v="1449"/>
    <x v="16"/>
    <s v="Anjali"/>
    <x v="3"/>
    <x v="3"/>
    <x v="0"/>
    <n v="5"/>
    <n v="30000"/>
    <n v="0.05"/>
    <n v="142500"/>
    <x v="1"/>
  </r>
  <r>
    <n v="1191"/>
    <x v="151"/>
    <s v="Simran"/>
    <x v="6"/>
    <x v="7"/>
    <x v="2"/>
    <n v="4"/>
    <n v="7000"/>
    <n v="0"/>
    <n v="28000"/>
    <x v="10"/>
  </r>
  <r>
    <n v="1192"/>
    <x v="152"/>
    <s v="Manish"/>
    <x v="1"/>
    <x v="2"/>
    <x v="1"/>
    <n v="1"/>
    <n v="1500"/>
    <n v="0.15"/>
    <n v="1275"/>
    <x v="7"/>
  </r>
  <r>
    <n v="1193"/>
    <x v="153"/>
    <s v="Karan"/>
    <x v="5"/>
    <x v="0"/>
    <x v="0"/>
    <n v="3"/>
    <n v="20000"/>
    <n v="0.05"/>
    <n v="57000"/>
    <x v="10"/>
  </r>
  <r>
    <n v="1194"/>
    <x v="9"/>
    <s v="Kavya"/>
    <x v="1"/>
    <x v="4"/>
    <x v="1"/>
    <n v="4"/>
    <n v="2000"/>
    <n v="0.1"/>
    <n v="7200"/>
    <x v="6"/>
  </r>
  <r>
    <n v="1648"/>
    <x v="154"/>
    <s v="Priya"/>
    <x v="6"/>
    <x v="3"/>
    <x v="0"/>
    <n v="5"/>
    <n v="30000"/>
    <n v="0.05"/>
    <n v="142500"/>
    <x v="9"/>
  </r>
  <r>
    <n v="1196"/>
    <x v="155"/>
    <s v="Kavya"/>
    <x v="1"/>
    <x v="2"/>
    <x v="1"/>
    <n v="3"/>
    <n v="1500"/>
    <n v="0.15"/>
    <n v="3825"/>
    <x v="3"/>
  </r>
  <r>
    <n v="1197"/>
    <x v="156"/>
    <s v="Pooja"/>
    <x v="4"/>
    <x v="4"/>
    <x v="1"/>
    <n v="4"/>
    <n v="2000"/>
    <n v="0.1"/>
    <n v="7200"/>
    <x v="7"/>
  </r>
  <r>
    <n v="1198"/>
    <x v="157"/>
    <s v="Neha"/>
    <x v="1"/>
    <x v="3"/>
    <x v="0"/>
    <n v="4"/>
    <n v="30000"/>
    <n v="0"/>
    <n v="120000"/>
    <x v="10"/>
  </r>
  <r>
    <n v="1199"/>
    <x v="49"/>
    <s v="Aman"/>
    <x v="4"/>
    <x v="2"/>
    <x v="1"/>
    <n v="1"/>
    <n v="1500"/>
    <n v="0.1"/>
    <n v="1350"/>
    <x v="9"/>
  </r>
  <r>
    <n v="1200"/>
    <x v="156"/>
    <s v="Kavya"/>
    <x v="3"/>
    <x v="0"/>
    <x v="0"/>
    <n v="4"/>
    <n v="20000"/>
    <n v="0.1"/>
    <n v="72000"/>
    <x v="7"/>
  </r>
  <r>
    <n v="1684"/>
    <x v="158"/>
    <s v="Arjun"/>
    <x v="5"/>
    <x v="3"/>
    <x v="0"/>
    <n v="5"/>
    <n v="30000"/>
    <n v="0.05"/>
    <n v="142500"/>
    <x v="9"/>
  </r>
  <r>
    <n v="1202"/>
    <x v="159"/>
    <s v="Sneha"/>
    <x v="4"/>
    <x v="3"/>
    <x v="0"/>
    <n v="4"/>
    <n v="30000"/>
    <n v="0.05"/>
    <n v="114000"/>
    <x v="10"/>
  </r>
  <r>
    <n v="1203"/>
    <x v="160"/>
    <s v="Ravi"/>
    <x v="5"/>
    <x v="0"/>
    <x v="0"/>
    <n v="3"/>
    <n v="20000"/>
    <n v="0.05"/>
    <n v="57000"/>
    <x v="6"/>
  </r>
  <r>
    <n v="1204"/>
    <x v="161"/>
    <s v="Vikas"/>
    <x v="4"/>
    <x v="1"/>
    <x v="0"/>
    <n v="2"/>
    <n v="50000"/>
    <n v="0.1"/>
    <n v="90000"/>
    <x v="7"/>
  </r>
  <r>
    <n v="1205"/>
    <x v="19"/>
    <s v="Arjun"/>
    <x v="1"/>
    <x v="4"/>
    <x v="1"/>
    <n v="1"/>
    <n v="2000"/>
    <n v="0.05"/>
    <n v="1900"/>
    <x v="9"/>
  </r>
  <r>
    <n v="1206"/>
    <x v="125"/>
    <s v="Anjali"/>
    <x v="6"/>
    <x v="3"/>
    <x v="0"/>
    <n v="1"/>
    <n v="30000"/>
    <n v="0"/>
    <n v="30000"/>
    <x v="11"/>
  </r>
  <r>
    <n v="1207"/>
    <x v="44"/>
    <s v="Sneha"/>
    <x v="5"/>
    <x v="2"/>
    <x v="1"/>
    <n v="4"/>
    <n v="1500"/>
    <n v="0.1"/>
    <n v="5400"/>
    <x v="9"/>
  </r>
  <r>
    <n v="1763"/>
    <x v="162"/>
    <s v="Sanjay"/>
    <x v="1"/>
    <x v="3"/>
    <x v="0"/>
    <n v="5"/>
    <n v="30000"/>
    <n v="0.05"/>
    <n v="142500"/>
    <x v="2"/>
  </r>
  <r>
    <n v="1209"/>
    <x v="163"/>
    <s v="Kavya"/>
    <x v="7"/>
    <x v="1"/>
    <x v="0"/>
    <n v="1"/>
    <n v="50000"/>
    <n v="0.1"/>
    <n v="45000"/>
    <x v="6"/>
  </r>
  <r>
    <n v="1210"/>
    <x v="164"/>
    <s v="Priya"/>
    <x v="4"/>
    <x v="6"/>
    <x v="0"/>
    <n v="4"/>
    <n v="12000"/>
    <n v="0.1"/>
    <n v="43200"/>
    <x v="1"/>
  </r>
  <r>
    <n v="1211"/>
    <x v="165"/>
    <s v="Simran"/>
    <x v="5"/>
    <x v="2"/>
    <x v="1"/>
    <n v="1"/>
    <n v="1500"/>
    <n v="0.1"/>
    <n v="1350"/>
    <x v="7"/>
  </r>
  <r>
    <n v="1212"/>
    <x v="166"/>
    <s v="Aman"/>
    <x v="3"/>
    <x v="1"/>
    <x v="0"/>
    <n v="2"/>
    <n v="50000"/>
    <n v="0.15"/>
    <n v="85000"/>
    <x v="5"/>
  </r>
  <r>
    <n v="1213"/>
    <x v="167"/>
    <s v="Pooja"/>
    <x v="5"/>
    <x v="5"/>
    <x v="2"/>
    <n v="3"/>
    <n v="3000"/>
    <n v="0.05"/>
    <n v="8550"/>
    <x v="9"/>
  </r>
  <r>
    <n v="1214"/>
    <x v="168"/>
    <s v="Kavya"/>
    <x v="0"/>
    <x v="4"/>
    <x v="1"/>
    <n v="1"/>
    <n v="2000"/>
    <n v="0"/>
    <n v="2000"/>
    <x v="11"/>
  </r>
  <r>
    <n v="1215"/>
    <x v="169"/>
    <s v="Sneha"/>
    <x v="1"/>
    <x v="3"/>
    <x v="0"/>
    <n v="4"/>
    <n v="30000"/>
    <n v="0.05"/>
    <n v="114000"/>
    <x v="11"/>
  </r>
  <r>
    <n v="1216"/>
    <x v="170"/>
    <s v="Manish"/>
    <x v="1"/>
    <x v="2"/>
    <x v="1"/>
    <n v="1"/>
    <n v="1500"/>
    <n v="0.15"/>
    <n v="1275"/>
    <x v="8"/>
  </r>
  <r>
    <n v="1065"/>
    <x v="171"/>
    <s v="Priya"/>
    <x v="6"/>
    <x v="3"/>
    <x v="0"/>
    <n v="5"/>
    <n v="30000"/>
    <n v="0.1"/>
    <n v="135000"/>
    <x v="8"/>
  </r>
  <r>
    <n v="1218"/>
    <x v="172"/>
    <s v="Rahul"/>
    <x v="0"/>
    <x v="7"/>
    <x v="2"/>
    <n v="1"/>
    <n v="7000"/>
    <n v="0.15"/>
    <n v="5950"/>
    <x v="8"/>
  </r>
  <r>
    <n v="1219"/>
    <x v="173"/>
    <s v="Priya"/>
    <x v="2"/>
    <x v="6"/>
    <x v="0"/>
    <n v="3"/>
    <n v="12000"/>
    <n v="0"/>
    <n v="36000"/>
    <x v="6"/>
  </r>
  <r>
    <n v="1071"/>
    <x v="174"/>
    <s v="Ravi"/>
    <x v="5"/>
    <x v="3"/>
    <x v="0"/>
    <n v="5"/>
    <n v="30000"/>
    <n v="0.1"/>
    <n v="135000"/>
    <x v="3"/>
  </r>
  <r>
    <n v="1221"/>
    <x v="107"/>
    <s v="Rohit"/>
    <x v="1"/>
    <x v="7"/>
    <x v="2"/>
    <n v="3"/>
    <n v="7000"/>
    <n v="0.05"/>
    <n v="19950"/>
    <x v="4"/>
  </r>
  <r>
    <n v="1170"/>
    <x v="125"/>
    <s v="Pooja"/>
    <x v="0"/>
    <x v="3"/>
    <x v="0"/>
    <n v="5"/>
    <n v="30000"/>
    <n v="0.1"/>
    <n v="135000"/>
    <x v="11"/>
  </r>
  <r>
    <n v="1223"/>
    <x v="175"/>
    <s v="Anjali"/>
    <x v="0"/>
    <x v="5"/>
    <x v="2"/>
    <n v="1"/>
    <n v="3000"/>
    <n v="0.05"/>
    <n v="2850"/>
    <x v="0"/>
  </r>
  <r>
    <n v="1224"/>
    <x v="7"/>
    <s v="Simran"/>
    <x v="7"/>
    <x v="3"/>
    <x v="0"/>
    <n v="1"/>
    <n v="30000"/>
    <n v="0.05"/>
    <n v="28500"/>
    <x v="5"/>
  </r>
  <r>
    <n v="1291"/>
    <x v="95"/>
    <s v="Aman"/>
    <x v="3"/>
    <x v="3"/>
    <x v="0"/>
    <n v="5"/>
    <n v="30000"/>
    <n v="0.1"/>
    <n v="135000"/>
    <x v="2"/>
  </r>
  <r>
    <n v="1226"/>
    <x v="163"/>
    <s v="Vikas"/>
    <x v="5"/>
    <x v="6"/>
    <x v="0"/>
    <n v="1"/>
    <n v="12000"/>
    <n v="0.15"/>
    <n v="10200"/>
    <x v="6"/>
  </r>
  <r>
    <n v="1227"/>
    <x v="176"/>
    <s v="Manish"/>
    <x v="7"/>
    <x v="1"/>
    <x v="0"/>
    <n v="3"/>
    <n v="50000"/>
    <n v="0"/>
    <n v="150000"/>
    <x v="4"/>
  </r>
  <r>
    <n v="1228"/>
    <x v="177"/>
    <s v="Neha"/>
    <x v="1"/>
    <x v="1"/>
    <x v="0"/>
    <n v="1"/>
    <n v="50000"/>
    <n v="0.1"/>
    <n v="45000"/>
    <x v="0"/>
  </r>
  <r>
    <n v="1229"/>
    <x v="12"/>
    <s v="Anjali"/>
    <x v="4"/>
    <x v="2"/>
    <x v="1"/>
    <n v="4"/>
    <n v="1500"/>
    <n v="0"/>
    <n v="6000"/>
    <x v="6"/>
  </r>
  <r>
    <n v="1454"/>
    <x v="7"/>
    <s v="Kavya"/>
    <x v="6"/>
    <x v="3"/>
    <x v="0"/>
    <n v="5"/>
    <n v="30000"/>
    <n v="0.1"/>
    <n v="135000"/>
    <x v="5"/>
  </r>
  <r>
    <n v="1231"/>
    <x v="178"/>
    <s v="Sanjay"/>
    <x v="7"/>
    <x v="4"/>
    <x v="1"/>
    <n v="1"/>
    <n v="2000"/>
    <n v="0.05"/>
    <n v="1900"/>
    <x v="8"/>
  </r>
  <r>
    <n v="1563"/>
    <x v="179"/>
    <s v="Neha"/>
    <x v="1"/>
    <x v="3"/>
    <x v="0"/>
    <n v="5"/>
    <n v="30000"/>
    <n v="0.1"/>
    <n v="135000"/>
    <x v="4"/>
  </r>
  <r>
    <n v="1233"/>
    <x v="165"/>
    <s v="Aman"/>
    <x v="4"/>
    <x v="2"/>
    <x v="1"/>
    <n v="4"/>
    <n v="1500"/>
    <n v="0.1"/>
    <n v="5400"/>
    <x v="7"/>
  </r>
  <r>
    <n v="1234"/>
    <x v="180"/>
    <s v="Arjun"/>
    <x v="5"/>
    <x v="0"/>
    <x v="0"/>
    <n v="3"/>
    <n v="20000"/>
    <n v="0"/>
    <n v="60000"/>
    <x v="2"/>
  </r>
  <r>
    <n v="1653"/>
    <x v="181"/>
    <s v="Priya"/>
    <x v="4"/>
    <x v="3"/>
    <x v="0"/>
    <n v="5"/>
    <n v="30000"/>
    <n v="0.1"/>
    <n v="135000"/>
    <x v="7"/>
  </r>
  <r>
    <n v="1236"/>
    <x v="49"/>
    <s v="Neha"/>
    <x v="5"/>
    <x v="4"/>
    <x v="1"/>
    <n v="3"/>
    <n v="2000"/>
    <n v="0.15"/>
    <n v="5100"/>
    <x v="9"/>
  </r>
  <r>
    <n v="1237"/>
    <x v="10"/>
    <s v="Neha"/>
    <x v="6"/>
    <x v="2"/>
    <x v="1"/>
    <n v="3"/>
    <n v="1500"/>
    <n v="0.05"/>
    <n v="4275"/>
    <x v="7"/>
  </r>
  <r>
    <n v="1238"/>
    <x v="176"/>
    <s v="Rohit"/>
    <x v="2"/>
    <x v="4"/>
    <x v="1"/>
    <n v="1"/>
    <n v="2000"/>
    <n v="0.1"/>
    <n v="1800"/>
    <x v="4"/>
  </r>
  <r>
    <n v="1239"/>
    <x v="65"/>
    <s v="Karan"/>
    <x v="0"/>
    <x v="4"/>
    <x v="1"/>
    <n v="4"/>
    <n v="2000"/>
    <n v="0.05"/>
    <n v="7600"/>
    <x v="1"/>
  </r>
  <r>
    <n v="1240"/>
    <x v="21"/>
    <s v="Aman"/>
    <x v="4"/>
    <x v="0"/>
    <x v="0"/>
    <n v="3"/>
    <n v="20000"/>
    <n v="0"/>
    <n v="60000"/>
    <x v="11"/>
  </r>
  <r>
    <n v="1693"/>
    <x v="182"/>
    <s v="Kavya"/>
    <x v="0"/>
    <x v="3"/>
    <x v="0"/>
    <n v="5"/>
    <n v="30000"/>
    <n v="0.1"/>
    <n v="135000"/>
    <x v="4"/>
  </r>
  <r>
    <n v="1242"/>
    <x v="183"/>
    <s v="Sneha"/>
    <x v="2"/>
    <x v="3"/>
    <x v="0"/>
    <n v="4"/>
    <n v="30000"/>
    <n v="0"/>
    <n v="120000"/>
    <x v="3"/>
  </r>
  <r>
    <n v="1760"/>
    <x v="184"/>
    <s v="Pooja"/>
    <x v="7"/>
    <x v="3"/>
    <x v="0"/>
    <n v="5"/>
    <n v="30000"/>
    <n v="0.1"/>
    <n v="135000"/>
    <x v="0"/>
  </r>
  <r>
    <n v="1244"/>
    <x v="185"/>
    <s v="Manish"/>
    <x v="7"/>
    <x v="7"/>
    <x v="2"/>
    <n v="4"/>
    <n v="7000"/>
    <n v="0.05"/>
    <n v="26600"/>
    <x v="3"/>
  </r>
  <r>
    <n v="1245"/>
    <x v="22"/>
    <s v="Anjali"/>
    <x v="0"/>
    <x v="7"/>
    <x v="2"/>
    <n v="4"/>
    <n v="7000"/>
    <n v="0.15"/>
    <n v="23800"/>
    <x v="9"/>
  </r>
  <r>
    <n v="1246"/>
    <x v="186"/>
    <s v="Priya"/>
    <x v="1"/>
    <x v="7"/>
    <x v="2"/>
    <n v="1"/>
    <n v="7000"/>
    <n v="0.15"/>
    <n v="5950"/>
    <x v="3"/>
  </r>
  <r>
    <n v="1247"/>
    <x v="79"/>
    <s v="Manish"/>
    <x v="0"/>
    <x v="7"/>
    <x v="2"/>
    <n v="1"/>
    <n v="7000"/>
    <n v="0.05"/>
    <n v="6650"/>
    <x v="0"/>
  </r>
  <r>
    <n v="1248"/>
    <x v="12"/>
    <s v="Sneha"/>
    <x v="3"/>
    <x v="2"/>
    <x v="1"/>
    <n v="1"/>
    <n v="1500"/>
    <n v="0.05"/>
    <n v="1425"/>
    <x v="6"/>
  </r>
  <r>
    <n v="1249"/>
    <x v="187"/>
    <s v="Sneha"/>
    <x v="2"/>
    <x v="2"/>
    <x v="1"/>
    <n v="1"/>
    <n v="1500"/>
    <n v="0.15"/>
    <n v="1275"/>
    <x v="11"/>
  </r>
  <r>
    <n v="1250"/>
    <x v="57"/>
    <s v="Ravi"/>
    <x v="4"/>
    <x v="2"/>
    <x v="1"/>
    <n v="1"/>
    <n v="1500"/>
    <n v="0.1"/>
    <n v="1350"/>
    <x v="1"/>
  </r>
  <r>
    <n v="1251"/>
    <x v="167"/>
    <s v="Aman"/>
    <x v="5"/>
    <x v="0"/>
    <x v="0"/>
    <n v="3"/>
    <n v="20000"/>
    <n v="0.05"/>
    <n v="57000"/>
    <x v="9"/>
  </r>
  <r>
    <n v="1252"/>
    <x v="188"/>
    <s v="Ravi"/>
    <x v="1"/>
    <x v="6"/>
    <x v="0"/>
    <n v="2"/>
    <n v="12000"/>
    <n v="0.15"/>
    <n v="20400"/>
    <x v="6"/>
  </r>
  <r>
    <n v="1253"/>
    <x v="116"/>
    <s v="Kavya"/>
    <x v="1"/>
    <x v="1"/>
    <x v="0"/>
    <n v="3"/>
    <n v="50000"/>
    <n v="0.05"/>
    <n v="142500"/>
    <x v="9"/>
  </r>
  <r>
    <n v="1254"/>
    <x v="189"/>
    <s v="Aman"/>
    <x v="2"/>
    <x v="7"/>
    <x v="2"/>
    <n v="2"/>
    <n v="7000"/>
    <n v="0.1"/>
    <n v="12600"/>
    <x v="9"/>
  </r>
  <r>
    <n v="1766"/>
    <x v="190"/>
    <s v="Vikas"/>
    <x v="5"/>
    <x v="3"/>
    <x v="0"/>
    <n v="5"/>
    <n v="30000"/>
    <n v="0.1"/>
    <n v="135000"/>
    <x v="11"/>
  </r>
  <r>
    <n v="1934"/>
    <x v="52"/>
    <s v="Arjun"/>
    <x v="0"/>
    <x v="3"/>
    <x v="0"/>
    <n v="5"/>
    <n v="30000"/>
    <n v="0.1"/>
    <n v="135000"/>
    <x v="3"/>
  </r>
  <r>
    <n v="1032"/>
    <x v="68"/>
    <s v="Simran"/>
    <x v="6"/>
    <x v="3"/>
    <x v="0"/>
    <n v="5"/>
    <n v="30000"/>
    <n v="0.15"/>
    <n v="127500"/>
    <x v="0"/>
  </r>
  <r>
    <n v="1241"/>
    <x v="191"/>
    <s v="Rohit"/>
    <x v="0"/>
    <x v="3"/>
    <x v="0"/>
    <n v="5"/>
    <n v="30000"/>
    <n v="0.15"/>
    <n v="127500"/>
    <x v="9"/>
  </r>
  <r>
    <n v="1259"/>
    <x v="192"/>
    <s v="Pooja"/>
    <x v="3"/>
    <x v="6"/>
    <x v="0"/>
    <n v="1"/>
    <n v="12000"/>
    <n v="0.15"/>
    <n v="10200"/>
    <x v="3"/>
  </r>
  <r>
    <n v="1260"/>
    <x v="47"/>
    <s v="Priya"/>
    <x v="4"/>
    <x v="4"/>
    <x v="1"/>
    <n v="1"/>
    <n v="2000"/>
    <n v="0.1"/>
    <n v="1800"/>
    <x v="0"/>
  </r>
  <r>
    <n v="1261"/>
    <x v="193"/>
    <s v="Rahul"/>
    <x v="0"/>
    <x v="3"/>
    <x v="0"/>
    <n v="1"/>
    <n v="30000"/>
    <n v="0.1"/>
    <n v="27000"/>
    <x v="2"/>
  </r>
  <r>
    <n v="1262"/>
    <x v="158"/>
    <s v="Neha"/>
    <x v="7"/>
    <x v="6"/>
    <x v="0"/>
    <n v="4"/>
    <n v="12000"/>
    <n v="0.05"/>
    <n v="45600"/>
    <x v="9"/>
  </r>
  <r>
    <n v="1263"/>
    <x v="194"/>
    <s v="Anjali"/>
    <x v="3"/>
    <x v="1"/>
    <x v="0"/>
    <n v="3"/>
    <n v="50000"/>
    <n v="0.05"/>
    <n v="142500"/>
    <x v="8"/>
  </r>
  <r>
    <n v="1264"/>
    <x v="195"/>
    <s v="Simran"/>
    <x v="5"/>
    <x v="4"/>
    <x v="1"/>
    <n v="3"/>
    <n v="2000"/>
    <n v="0.15"/>
    <n v="5100"/>
    <x v="2"/>
  </r>
  <r>
    <n v="1265"/>
    <x v="196"/>
    <s v="Aman"/>
    <x v="4"/>
    <x v="1"/>
    <x v="0"/>
    <n v="2"/>
    <n v="50000"/>
    <n v="0.1"/>
    <n v="90000"/>
    <x v="3"/>
  </r>
  <r>
    <n v="1266"/>
    <x v="173"/>
    <s v="Arjun"/>
    <x v="7"/>
    <x v="7"/>
    <x v="2"/>
    <n v="1"/>
    <n v="7000"/>
    <n v="0.1"/>
    <n v="6300"/>
    <x v="6"/>
  </r>
  <r>
    <n v="1267"/>
    <x v="168"/>
    <s v="Simran"/>
    <x v="4"/>
    <x v="2"/>
    <x v="1"/>
    <n v="3"/>
    <n v="1500"/>
    <n v="0.05"/>
    <n v="4275"/>
    <x v="11"/>
  </r>
  <r>
    <n v="1268"/>
    <x v="197"/>
    <s v="Kavya"/>
    <x v="0"/>
    <x v="7"/>
    <x v="2"/>
    <n v="1"/>
    <n v="7000"/>
    <n v="0.15"/>
    <n v="5950"/>
    <x v="10"/>
  </r>
  <r>
    <n v="1269"/>
    <x v="197"/>
    <s v="Rahul"/>
    <x v="5"/>
    <x v="7"/>
    <x v="2"/>
    <n v="3"/>
    <n v="7000"/>
    <n v="0"/>
    <n v="21000"/>
    <x v="10"/>
  </r>
  <r>
    <n v="1270"/>
    <x v="34"/>
    <s v="Manish"/>
    <x v="4"/>
    <x v="7"/>
    <x v="2"/>
    <n v="4"/>
    <n v="7000"/>
    <n v="0.15"/>
    <n v="23800"/>
    <x v="9"/>
  </r>
  <r>
    <n v="1271"/>
    <x v="198"/>
    <s v="Kavya"/>
    <x v="5"/>
    <x v="6"/>
    <x v="0"/>
    <n v="1"/>
    <n v="12000"/>
    <n v="0.1"/>
    <n v="10800"/>
    <x v="5"/>
  </r>
  <r>
    <n v="1272"/>
    <x v="52"/>
    <s v="Rohit"/>
    <x v="3"/>
    <x v="1"/>
    <x v="0"/>
    <n v="1"/>
    <n v="50000"/>
    <n v="0.15"/>
    <n v="42500"/>
    <x v="3"/>
  </r>
  <r>
    <n v="1273"/>
    <x v="134"/>
    <s v="Karan"/>
    <x v="1"/>
    <x v="3"/>
    <x v="0"/>
    <n v="5"/>
    <n v="30000"/>
    <n v="0.15"/>
    <n v="127500"/>
    <x v="8"/>
  </r>
  <r>
    <n v="1274"/>
    <x v="114"/>
    <s v="Aman"/>
    <x v="0"/>
    <x v="5"/>
    <x v="2"/>
    <n v="3"/>
    <n v="3000"/>
    <n v="0.1"/>
    <n v="8100"/>
    <x v="3"/>
  </r>
  <r>
    <n v="1275"/>
    <x v="199"/>
    <s v="Neha"/>
    <x v="0"/>
    <x v="6"/>
    <x v="0"/>
    <n v="3"/>
    <n v="12000"/>
    <n v="0.1"/>
    <n v="32400"/>
    <x v="6"/>
  </r>
  <r>
    <n v="1276"/>
    <x v="141"/>
    <s v="Pooja"/>
    <x v="2"/>
    <x v="4"/>
    <x v="1"/>
    <n v="4"/>
    <n v="2000"/>
    <n v="0.1"/>
    <n v="7200"/>
    <x v="5"/>
  </r>
  <r>
    <n v="1277"/>
    <x v="200"/>
    <s v="Arjun"/>
    <x v="1"/>
    <x v="0"/>
    <x v="0"/>
    <n v="1"/>
    <n v="20000"/>
    <n v="0.05"/>
    <n v="19000"/>
    <x v="11"/>
  </r>
  <r>
    <n v="1278"/>
    <x v="201"/>
    <s v="Vikas"/>
    <x v="7"/>
    <x v="7"/>
    <x v="2"/>
    <n v="3"/>
    <n v="7000"/>
    <n v="0.15"/>
    <n v="17850"/>
    <x v="1"/>
  </r>
  <r>
    <n v="1279"/>
    <x v="202"/>
    <s v="Manish"/>
    <x v="0"/>
    <x v="5"/>
    <x v="2"/>
    <n v="1"/>
    <n v="3000"/>
    <n v="0.05"/>
    <n v="2850"/>
    <x v="10"/>
  </r>
  <r>
    <n v="1280"/>
    <x v="63"/>
    <s v="Sneha"/>
    <x v="1"/>
    <x v="6"/>
    <x v="0"/>
    <n v="1"/>
    <n v="12000"/>
    <n v="0.1"/>
    <n v="10800"/>
    <x v="7"/>
  </r>
  <r>
    <n v="1281"/>
    <x v="152"/>
    <s v="Rohit"/>
    <x v="4"/>
    <x v="7"/>
    <x v="2"/>
    <n v="3"/>
    <n v="7000"/>
    <n v="0.05"/>
    <n v="19950"/>
    <x v="7"/>
  </r>
  <r>
    <n v="1282"/>
    <x v="15"/>
    <s v="Sanjay"/>
    <x v="7"/>
    <x v="5"/>
    <x v="2"/>
    <n v="1"/>
    <n v="3000"/>
    <n v="0.05"/>
    <n v="2850"/>
    <x v="9"/>
  </r>
  <r>
    <n v="1283"/>
    <x v="203"/>
    <s v="Karan"/>
    <x v="1"/>
    <x v="1"/>
    <x v="0"/>
    <n v="3"/>
    <n v="50000"/>
    <n v="0.1"/>
    <n v="135000"/>
    <x v="6"/>
  </r>
  <r>
    <n v="1284"/>
    <x v="204"/>
    <s v="Kavya"/>
    <x v="6"/>
    <x v="0"/>
    <x v="0"/>
    <n v="3"/>
    <n v="20000"/>
    <n v="0.15"/>
    <n v="51000"/>
    <x v="11"/>
  </r>
  <r>
    <n v="1285"/>
    <x v="146"/>
    <s v="Neha"/>
    <x v="7"/>
    <x v="0"/>
    <x v="0"/>
    <n v="2"/>
    <n v="20000"/>
    <n v="0.1"/>
    <n v="36000"/>
    <x v="5"/>
  </r>
  <r>
    <n v="1354"/>
    <x v="205"/>
    <s v="Karan"/>
    <x v="2"/>
    <x v="3"/>
    <x v="0"/>
    <n v="5"/>
    <n v="30000"/>
    <n v="0.15"/>
    <n v="127500"/>
    <x v="11"/>
  </r>
  <r>
    <n v="1365"/>
    <x v="47"/>
    <s v="Sanjay"/>
    <x v="5"/>
    <x v="3"/>
    <x v="0"/>
    <n v="5"/>
    <n v="30000"/>
    <n v="0.15"/>
    <n v="127500"/>
    <x v="0"/>
  </r>
  <r>
    <n v="1288"/>
    <x v="181"/>
    <s v="Sanjay"/>
    <x v="4"/>
    <x v="3"/>
    <x v="0"/>
    <n v="2"/>
    <n v="30000"/>
    <n v="0.1"/>
    <n v="54000"/>
    <x v="7"/>
  </r>
  <r>
    <n v="1289"/>
    <x v="206"/>
    <s v="Pooja"/>
    <x v="0"/>
    <x v="7"/>
    <x v="2"/>
    <n v="1"/>
    <n v="7000"/>
    <n v="0.1"/>
    <n v="6300"/>
    <x v="1"/>
  </r>
  <r>
    <n v="1379"/>
    <x v="94"/>
    <s v="Aman"/>
    <x v="3"/>
    <x v="3"/>
    <x v="0"/>
    <n v="5"/>
    <n v="30000"/>
    <n v="0.15"/>
    <n v="127500"/>
    <x v="1"/>
  </r>
  <r>
    <n v="1398"/>
    <x v="24"/>
    <s v="Vikas"/>
    <x v="2"/>
    <x v="3"/>
    <x v="0"/>
    <n v="5"/>
    <n v="30000"/>
    <n v="0.15"/>
    <n v="127500"/>
    <x v="10"/>
  </r>
  <r>
    <n v="1292"/>
    <x v="207"/>
    <s v="Anjali"/>
    <x v="6"/>
    <x v="0"/>
    <x v="0"/>
    <n v="1"/>
    <n v="20000"/>
    <n v="0.1"/>
    <n v="18000"/>
    <x v="5"/>
  </r>
  <r>
    <n v="1293"/>
    <x v="146"/>
    <s v="Vikas"/>
    <x v="7"/>
    <x v="1"/>
    <x v="0"/>
    <n v="4"/>
    <n v="50000"/>
    <n v="0.1"/>
    <n v="180000"/>
    <x v="5"/>
  </r>
  <r>
    <n v="1294"/>
    <x v="9"/>
    <s v="Neha"/>
    <x v="3"/>
    <x v="5"/>
    <x v="2"/>
    <n v="4"/>
    <n v="3000"/>
    <n v="0.1"/>
    <n v="10800"/>
    <x v="6"/>
  </r>
  <r>
    <n v="1295"/>
    <x v="208"/>
    <s v="Manish"/>
    <x v="2"/>
    <x v="3"/>
    <x v="0"/>
    <n v="4"/>
    <n v="30000"/>
    <n v="0.15"/>
    <n v="102000"/>
    <x v="11"/>
  </r>
  <r>
    <n v="1548"/>
    <x v="44"/>
    <s v="Aman"/>
    <x v="1"/>
    <x v="3"/>
    <x v="0"/>
    <n v="5"/>
    <n v="30000"/>
    <n v="0.15"/>
    <n v="127500"/>
    <x v="9"/>
  </r>
  <r>
    <n v="1297"/>
    <x v="59"/>
    <s v="Priya"/>
    <x v="4"/>
    <x v="2"/>
    <x v="1"/>
    <n v="2"/>
    <n v="1500"/>
    <n v="0.1"/>
    <n v="2700"/>
    <x v="11"/>
  </r>
  <r>
    <n v="1298"/>
    <x v="55"/>
    <s v="Manish"/>
    <x v="2"/>
    <x v="5"/>
    <x v="2"/>
    <n v="4"/>
    <n v="3000"/>
    <n v="0"/>
    <n v="12000"/>
    <x v="0"/>
  </r>
  <r>
    <n v="1299"/>
    <x v="8"/>
    <s v="Arjun"/>
    <x v="6"/>
    <x v="3"/>
    <x v="0"/>
    <n v="1"/>
    <n v="30000"/>
    <n v="0"/>
    <n v="30000"/>
    <x v="0"/>
  </r>
  <r>
    <n v="1300"/>
    <x v="209"/>
    <s v="Rahul"/>
    <x v="2"/>
    <x v="5"/>
    <x v="2"/>
    <n v="2"/>
    <n v="3000"/>
    <n v="0.1"/>
    <n v="5400"/>
    <x v="2"/>
  </r>
  <r>
    <n v="1301"/>
    <x v="200"/>
    <s v="Vikas"/>
    <x v="7"/>
    <x v="3"/>
    <x v="0"/>
    <n v="4"/>
    <n v="30000"/>
    <n v="0.15"/>
    <n v="102000"/>
    <x v="11"/>
  </r>
  <r>
    <n v="1302"/>
    <x v="210"/>
    <s v="Manish"/>
    <x v="2"/>
    <x v="1"/>
    <x v="0"/>
    <n v="1"/>
    <n v="50000"/>
    <n v="0.15"/>
    <n v="42500"/>
    <x v="11"/>
  </r>
  <r>
    <n v="1716"/>
    <x v="166"/>
    <s v="Ravi"/>
    <x v="5"/>
    <x v="3"/>
    <x v="0"/>
    <n v="5"/>
    <n v="30000"/>
    <n v="0.15"/>
    <n v="127500"/>
    <x v="5"/>
  </r>
  <r>
    <n v="1783"/>
    <x v="211"/>
    <s v="Kavya"/>
    <x v="5"/>
    <x v="3"/>
    <x v="0"/>
    <n v="5"/>
    <n v="30000"/>
    <n v="0.15"/>
    <n v="127500"/>
    <x v="5"/>
  </r>
  <r>
    <n v="1305"/>
    <x v="212"/>
    <s v="Arjun"/>
    <x v="4"/>
    <x v="2"/>
    <x v="1"/>
    <n v="2"/>
    <n v="1500"/>
    <n v="0.1"/>
    <n v="2700"/>
    <x v="3"/>
  </r>
  <r>
    <n v="1306"/>
    <x v="39"/>
    <s v="Anjali"/>
    <x v="4"/>
    <x v="1"/>
    <x v="0"/>
    <n v="4"/>
    <n v="50000"/>
    <n v="0"/>
    <n v="200000"/>
    <x v="2"/>
  </r>
  <r>
    <n v="1307"/>
    <x v="210"/>
    <s v="Manish"/>
    <x v="5"/>
    <x v="7"/>
    <x v="2"/>
    <n v="1"/>
    <n v="7000"/>
    <n v="0.15"/>
    <n v="5950"/>
    <x v="11"/>
  </r>
  <r>
    <n v="1308"/>
    <x v="60"/>
    <s v="Sneha"/>
    <x v="4"/>
    <x v="0"/>
    <x v="0"/>
    <n v="2"/>
    <n v="20000"/>
    <n v="0"/>
    <n v="40000"/>
    <x v="3"/>
  </r>
  <r>
    <n v="1309"/>
    <x v="213"/>
    <s v="Arjun"/>
    <x v="3"/>
    <x v="4"/>
    <x v="1"/>
    <n v="2"/>
    <n v="2000"/>
    <n v="0.05"/>
    <n v="3800"/>
    <x v="5"/>
  </r>
  <r>
    <n v="1310"/>
    <x v="107"/>
    <s v="Simran"/>
    <x v="7"/>
    <x v="1"/>
    <x v="0"/>
    <n v="1"/>
    <n v="50000"/>
    <n v="0.05"/>
    <n v="47500"/>
    <x v="4"/>
  </r>
  <r>
    <n v="1826"/>
    <x v="118"/>
    <s v="Sneha"/>
    <x v="7"/>
    <x v="3"/>
    <x v="0"/>
    <n v="5"/>
    <n v="30000"/>
    <n v="0.15"/>
    <n v="127500"/>
    <x v="10"/>
  </r>
  <r>
    <n v="1828"/>
    <x v="90"/>
    <s v="Rahul"/>
    <x v="4"/>
    <x v="3"/>
    <x v="0"/>
    <n v="5"/>
    <n v="30000"/>
    <n v="0.15"/>
    <n v="127500"/>
    <x v="4"/>
  </r>
  <r>
    <n v="1313"/>
    <x v="185"/>
    <s v="Rahul"/>
    <x v="1"/>
    <x v="7"/>
    <x v="2"/>
    <n v="4"/>
    <n v="7000"/>
    <n v="0"/>
    <n v="28000"/>
    <x v="3"/>
  </r>
  <r>
    <n v="1988"/>
    <x v="214"/>
    <s v="Priya"/>
    <x v="7"/>
    <x v="3"/>
    <x v="0"/>
    <n v="5"/>
    <n v="30000"/>
    <n v="0.15"/>
    <n v="127500"/>
    <x v="1"/>
  </r>
  <r>
    <n v="1002"/>
    <x v="215"/>
    <s v="Kavya"/>
    <x v="3"/>
    <x v="0"/>
    <x v="0"/>
    <n v="5"/>
    <n v="20000"/>
    <n v="0"/>
    <n v="100000"/>
    <x v="2"/>
  </r>
  <r>
    <n v="1316"/>
    <x v="216"/>
    <s v="Priya"/>
    <x v="2"/>
    <x v="2"/>
    <x v="1"/>
    <n v="2"/>
    <n v="1500"/>
    <n v="0.05"/>
    <n v="2850"/>
    <x v="8"/>
  </r>
  <r>
    <n v="1317"/>
    <x v="217"/>
    <s v="Karan"/>
    <x v="6"/>
    <x v="1"/>
    <x v="0"/>
    <n v="4"/>
    <n v="50000"/>
    <n v="0.1"/>
    <n v="180000"/>
    <x v="6"/>
  </r>
  <r>
    <n v="1318"/>
    <x v="151"/>
    <s v="Karan"/>
    <x v="2"/>
    <x v="5"/>
    <x v="2"/>
    <n v="4"/>
    <n v="3000"/>
    <n v="0.15"/>
    <n v="10200"/>
    <x v="10"/>
  </r>
  <r>
    <n v="1319"/>
    <x v="218"/>
    <s v="Rohit"/>
    <x v="7"/>
    <x v="4"/>
    <x v="1"/>
    <n v="4"/>
    <n v="2000"/>
    <n v="0.15"/>
    <n v="6800"/>
    <x v="4"/>
  </r>
  <r>
    <n v="1390"/>
    <x v="28"/>
    <s v="Anjali"/>
    <x v="7"/>
    <x v="0"/>
    <x v="0"/>
    <n v="5"/>
    <n v="20000"/>
    <n v="0"/>
    <n v="100000"/>
    <x v="1"/>
  </r>
  <r>
    <n v="1321"/>
    <x v="180"/>
    <s v="Vikas"/>
    <x v="2"/>
    <x v="5"/>
    <x v="2"/>
    <n v="2"/>
    <n v="3000"/>
    <n v="0.1"/>
    <n v="5400"/>
    <x v="2"/>
  </r>
  <r>
    <n v="1322"/>
    <x v="144"/>
    <s v="Simran"/>
    <x v="4"/>
    <x v="7"/>
    <x v="2"/>
    <n v="3"/>
    <n v="7000"/>
    <n v="0.05"/>
    <n v="19950"/>
    <x v="7"/>
  </r>
  <r>
    <n v="1323"/>
    <x v="219"/>
    <s v="Priya"/>
    <x v="6"/>
    <x v="6"/>
    <x v="0"/>
    <n v="3"/>
    <n v="12000"/>
    <n v="0.1"/>
    <n v="32400"/>
    <x v="0"/>
  </r>
  <r>
    <n v="1324"/>
    <x v="8"/>
    <s v="Aman"/>
    <x v="5"/>
    <x v="2"/>
    <x v="1"/>
    <n v="3"/>
    <n v="1500"/>
    <n v="0.05"/>
    <n v="4275"/>
    <x v="0"/>
  </r>
  <r>
    <n v="1325"/>
    <x v="220"/>
    <s v="Pooja"/>
    <x v="7"/>
    <x v="0"/>
    <x v="0"/>
    <n v="3"/>
    <n v="20000"/>
    <n v="0.15"/>
    <n v="51000"/>
    <x v="7"/>
  </r>
  <r>
    <n v="1326"/>
    <x v="50"/>
    <s v="Pooja"/>
    <x v="0"/>
    <x v="5"/>
    <x v="2"/>
    <n v="2"/>
    <n v="3000"/>
    <n v="0.1"/>
    <n v="5400"/>
    <x v="2"/>
  </r>
  <r>
    <n v="1445"/>
    <x v="221"/>
    <s v="Sneha"/>
    <x v="3"/>
    <x v="0"/>
    <x v="0"/>
    <n v="5"/>
    <n v="20000"/>
    <n v="0"/>
    <n v="100000"/>
    <x v="0"/>
  </r>
  <r>
    <n v="1328"/>
    <x v="54"/>
    <s v="Rahul"/>
    <x v="7"/>
    <x v="5"/>
    <x v="2"/>
    <n v="1"/>
    <n v="3000"/>
    <n v="0"/>
    <n v="3000"/>
    <x v="3"/>
  </r>
  <r>
    <n v="1329"/>
    <x v="25"/>
    <s v="Rohit"/>
    <x v="6"/>
    <x v="0"/>
    <x v="0"/>
    <n v="2"/>
    <n v="20000"/>
    <n v="0"/>
    <n v="40000"/>
    <x v="2"/>
  </r>
  <r>
    <n v="1330"/>
    <x v="219"/>
    <s v="Rahul"/>
    <x v="5"/>
    <x v="6"/>
    <x v="0"/>
    <n v="4"/>
    <n v="12000"/>
    <n v="0.05"/>
    <n v="45600"/>
    <x v="0"/>
  </r>
  <r>
    <n v="1331"/>
    <x v="222"/>
    <s v="Aman"/>
    <x v="0"/>
    <x v="1"/>
    <x v="0"/>
    <n v="1"/>
    <n v="50000"/>
    <n v="0.05"/>
    <n v="47500"/>
    <x v="11"/>
  </r>
  <r>
    <n v="1332"/>
    <x v="223"/>
    <s v="Simran"/>
    <x v="0"/>
    <x v="2"/>
    <x v="1"/>
    <n v="2"/>
    <n v="1500"/>
    <n v="0"/>
    <n v="3000"/>
    <x v="3"/>
  </r>
  <r>
    <n v="1333"/>
    <x v="78"/>
    <s v="Priya"/>
    <x v="4"/>
    <x v="7"/>
    <x v="2"/>
    <n v="1"/>
    <n v="7000"/>
    <n v="0"/>
    <n v="7000"/>
    <x v="4"/>
  </r>
  <r>
    <n v="1334"/>
    <x v="70"/>
    <s v="Manish"/>
    <x v="5"/>
    <x v="7"/>
    <x v="2"/>
    <n v="4"/>
    <n v="7000"/>
    <n v="0.15"/>
    <n v="23800"/>
    <x v="9"/>
  </r>
  <r>
    <n v="1335"/>
    <x v="148"/>
    <s v="Manish"/>
    <x v="5"/>
    <x v="5"/>
    <x v="2"/>
    <n v="1"/>
    <n v="3000"/>
    <n v="0.1"/>
    <n v="2700"/>
    <x v="9"/>
  </r>
  <r>
    <n v="1336"/>
    <x v="36"/>
    <s v="Anjali"/>
    <x v="0"/>
    <x v="3"/>
    <x v="0"/>
    <n v="1"/>
    <n v="30000"/>
    <n v="0.1"/>
    <n v="27000"/>
    <x v="0"/>
  </r>
  <r>
    <n v="1337"/>
    <x v="224"/>
    <s v="Arjun"/>
    <x v="1"/>
    <x v="2"/>
    <x v="1"/>
    <n v="4"/>
    <n v="1500"/>
    <n v="0.1"/>
    <n v="5400"/>
    <x v="10"/>
  </r>
  <r>
    <n v="1338"/>
    <x v="225"/>
    <s v="Sanjay"/>
    <x v="3"/>
    <x v="3"/>
    <x v="0"/>
    <n v="2"/>
    <n v="30000"/>
    <n v="0.15"/>
    <n v="51000"/>
    <x v="4"/>
  </r>
  <r>
    <n v="1339"/>
    <x v="226"/>
    <s v="Pooja"/>
    <x v="4"/>
    <x v="7"/>
    <x v="2"/>
    <n v="4"/>
    <n v="7000"/>
    <n v="0.05"/>
    <n v="26600"/>
    <x v="6"/>
  </r>
  <r>
    <n v="1503"/>
    <x v="20"/>
    <s v="Karan"/>
    <x v="2"/>
    <x v="0"/>
    <x v="0"/>
    <n v="5"/>
    <n v="20000"/>
    <n v="0"/>
    <n v="100000"/>
    <x v="6"/>
  </r>
  <r>
    <n v="1341"/>
    <x v="227"/>
    <s v="Rohit"/>
    <x v="6"/>
    <x v="1"/>
    <x v="0"/>
    <n v="1"/>
    <n v="50000"/>
    <n v="0.15"/>
    <n v="42500"/>
    <x v="4"/>
  </r>
  <r>
    <n v="1342"/>
    <x v="185"/>
    <s v="Sanjay"/>
    <x v="2"/>
    <x v="7"/>
    <x v="2"/>
    <n v="1"/>
    <n v="7000"/>
    <n v="0.1"/>
    <n v="6300"/>
    <x v="3"/>
  </r>
  <r>
    <n v="1343"/>
    <x v="9"/>
    <s v="Sneha"/>
    <x v="6"/>
    <x v="3"/>
    <x v="0"/>
    <n v="4"/>
    <n v="30000"/>
    <n v="0.05"/>
    <n v="114000"/>
    <x v="6"/>
  </r>
  <r>
    <n v="1620"/>
    <x v="120"/>
    <s v="Pooja"/>
    <x v="2"/>
    <x v="0"/>
    <x v="0"/>
    <n v="5"/>
    <n v="20000"/>
    <n v="0"/>
    <n v="100000"/>
    <x v="10"/>
  </r>
  <r>
    <n v="1345"/>
    <x v="151"/>
    <s v="Anjali"/>
    <x v="0"/>
    <x v="4"/>
    <x v="1"/>
    <n v="1"/>
    <n v="2000"/>
    <n v="0"/>
    <n v="2000"/>
    <x v="10"/>
  </r>
  <r>
    <n v="1346"/>
    <x v="228"/>
    <s v="Anjali"/>
    <x v="7"/>
    <x v="3"/>
    <x v="0"/>
    <n v="3"/>
    <n v="30000"/>
    <n v="0.15"/>
    <n v="76500"/>
    <x v="10"/>
  </r>
  <r>
    <n v="1681"/>
    <x v="229"/>
    <s v="Neha"/>
    <x v="4"/>
    <x v="0"/>
    <x v="0"/>
    <n v="5"/>
    <n v="20000"/>
    <n v="0"/>
    <n v="100000"/>
    <x v="7"/>
  </r>
  <r>
    <n v="1348"/>
    <x v="230"/>
    <s v="Manish"/>
    <x v="5"/>
    <x v="2"/>
    <x v="1"/>
    <n v="4"/>
    <n v="1500"/>
    <n v="0"/>
    <n v="6000"/>
    <x v="2"/>
  </r>
  <r>
    <n v="1349"/>
    <x v="231"/>
    <s v="Anjali"/>
    <x v="1"/>
    <x v="1"/>
    <x v="0"/>
    <n v="4"/>
    <n v="50000"/>
    <n v="0.1"/>
    <n v="180000"/>
    <x v="8"/>
  </r>
  <r>
    <n v="1350"/>
    <x v="229"/>
    <s v="Neha"/>
    <x v="3"/>
    <x v="1"/>
    <x v="0"/>
    <n v="4"/>
    <n v="50000"/>
    <n v="0.1"/>
    <n v="180000"/>
    <x v="7"/>
  </r>
  <r>
    <n v="1351"/>
    <x v="177"/>
    <s v="Kavya"/>
    <x v="0"/>
    <x v="0"/>
    <x v="0"/>
    <n v="4"/>
    <n v="20000"/>
    <n v="0"/>
    <n v="80000"/>
    <x v="0"/>
  </r>
  <r>
    <n v="1352"/>
    <x v="232"/>
    <s v="Manish"/>
    <x v="6"/>
    <x v="3"/>
    <x v="0"/>
    <n v="4"/>
    <n v="30000"/>
    <n v="0.1"/>
    <n v="108000"/>
    <x v="3"/>
  </r>
  <r>
    <n v="1353"/>
    <x v="233"/>
    <s v="Sneha"/>
    <x v="1"/>
    <x v="2"/>
    <x v="1"/>
    <n v="1"/>
    <n v="1500"/>
    <n v="0.05"/>
    <n v="1425"/>
    <x v="5"/>
  </r>
  <r>
    <n v="1818"/>
    <x v="194"/>
    <s v="Karan"/>
    <x v="0"/>
    <x v="0"/>
    <x v="0"/>
    <n v="5"/>
    <n v="20000"/>
    <n v="0"/>
    <n v="100000"/>
    <x v="8"/>
  </r>
  <r>
    <n v="1355"/>
    <x v="234"/>
    <s v="Kavya"/>
    <x v="6"/>
    <x v="1"/>
    <x v="0"/>
    <n v="1"/>
    <n v="50000"/>
    <n v="0.1"/>
    <n v="45000"/>
    <x v="6"/>
  </r>
  <r>
    <n v="1356"/>
    <x v="235"/>
    <s v="Karan"/>
    <x v="5"/>
    <x v="5"/>
    <x v="2"/>
    <n v="2"/>
    <n v="3000"/>
    <n v="0.15"/>
    <n v="5100"/>
    <x v="4"/>
  </r>
  <r>
    <n v="1357"/>
    <x v="85"/>
    <s v="Kavya"/>
    <x v="3"/>
    <x v="5"/>
    <x v="2"/>
    <n v="1"/>
    <n v="3000"/>
    <n v="0"/>
    <n v="3000"/>
    <x v="7"/>
  </r>
  <r>
    <n v="1358"/>
    <x v="120"/>
    <s v="Aman"/>
    <x v="7"/>
    <x v="5"/>
    <x v="2"/>
    <n v="2"/>
    <n v="3000"/>
    <n v="0"/>
    <n v="6000"/>
    <x v="10"/>
  </r>
  <r>
    <n v="1359"/>
    <x v="13"/>
    <s v="Manish"/>
    <x v="2"/>
    <x v="1"/>
    <x v="0"/>
    <n v="2"/>
    <n v="50000"/>
    <n v="0"/>
    <n v="100000"/>
    <x v="3"/>
  </r>
  <r>
    <n v="1360"/>
    <x v="187"/>
    <s v="Vikas"/>
    <x v="2"/>
    <x v="5"/>
    <x v="2"/>
    <n v="1"/>
    <n v="3000"/>
    <n v="0.05"/>
    <n v="2850"/>
    <x v="11"/>
  </r>
  <r>
    <n v="1894"/>
    <x v="0"/>
    <s v="Pooja"/>
    <x v="2"/>
    <x v="0"/>
    <x v="0"/>
    <n v="5"/>
    <n v="20000"/>
    <n v="0"/>
    <n v="100000"/>
    <x v="0"/>
  </r>
  <r>
    <n v="1362"/>
    <x v="132"/>
    <s v="Aman"/>
    <x v="0"/>
    <x v="5"/>
    <x v="2"/>
    <n v="4"/>
    <n v="3000"/>
    <n v="0.1"/>
    <n v="10800"/>
    <x v="0"/>
  </r>
  <r>
    <n v="1902"/>
    <x v="208"/>
    <s v="Vikas"/>
    <x v="6"/>
    <x v="0"/>
    <x v="0"/>
    <n v="5"/>
    <n v="20000"/>
    <n v="0"/>
    <n v="100000"/>
    <x v="11"/>
  </r>
  <r>
    <n v="1364"/>
    <x v="116"/>
    <s v="Vikas"/>
    <x v="6"/>
    <x v="4"/>
    <x v="1"/>
    <n v="4"/>
    <n v="2000"/>
    <n v="0.15"/>
    <n v="6800"/>
    <x v="9"/>
  </r>
  <r>
    <n v="1960"/>
    <x v="0"/>
    <s v="Simran"/>
    <x v="1"/>
    <x v="0"/>
    <x v="0"/>
    <n v="5"/>
    <n v="20000"/>
    <n v="0"/>
    <n v="100000"/>
    <x v="0"/>
  </r>
  <r>
    <n v="1366"/>
    <x v="50"/>
    <s v="Kavya"/>
    <x v="6"/>
    <x v="3"/>
    <x v="0"/>
    <n v="4"/>
    <n v="30000"/>
    <n v="0"/>
    <n v="120000"/>
    <x v="2"/>
  </r>
  <r>
    <n v="1367"/>
    <x v="236"/>
    <s v="Anjali"/>
    <x v="4"/>
    <x v="3"/>
    <x v="0"/>
    <n v="4"/>
    <n v="30000"/>
    <n v="0.05"/>
    <n v="114000"/>
    <x v="0"/>
  </r>
  <r>
    <n v="1368"/>
    <x v="48"/>
    <s v="Anjali"/>
    <x v="3"/>
    <x v="0"/>
    <x v="0"/>
    <n v="4"/>
    <n v="20000"/>
    <n v="0.1"/>
    <n v="72000"/>
    <x v="10"/>
  </r>
  <r>
    <n v="1369"/>
    <x v="202"/>
    <s v="Anjali"/>
    <x v="2"/>
    <x v="7"/>
    <x v="2"/>
    <n v="4"/>
    <n v="7000"/>
    <n v="0"/>
    <n v="28000"/>
    <x v="10"/>
  </r>
  <r>
    <n v="1370"/>
    <x v="142"/>
    <s v="Ravi"/>
    <x v="2"/>
    <x v="6"/>
    <x v="0"/>
    <n v="2"/>
    <n v="12000"/>
    <n v="0.1"/>
    <n v="21600"/>
    <x v="4"/>
  </r>
  <r>
    <n v="1371"/>
    <x v="68"/>
    <s v="Anjali"/>
    <x v="6"/>
    <x v="5"/>
    <x v="2"/>
    <n v="1"/>
    <n v="3000"/>
    <n v="0.15"/>
    <n v="2550"/>
    <x v="0"/>
  </r>
  <r>
    <n v="1113"/>
    <x v="64"/>
    <s v="Anjali"/>
    <x v="7"/>
    <x v="0"/>
    <x v="0"/>
    <n v="5"/>
    <n v="20000"/>
    <n v="0.05"/>
    <n v="95000"/>
    <x v="1"/>
  </r>
  <r>
    <n v="1373"/>
    <x v="237"/>
    <s v="Simran"/>
    <x v="7"/>
    <x v="4"/>
    <x v="1"/>
    <n v="3"/>
    <n v="2000"/>
    <n v="0.1"/>
    <n v="5400"/>
    <x v="3"/>
  </r>
  <r>
    <n v="1374"/>
    <x v="238"/>
    <s v="Sneha"/>
    <x v="4"/>
    <x v="0"/>
    <x v="0"/>
    <n v="4"/>
    <n v="20000"/>
    <n v="0.1"/>
    <n v="72000"/>
    <x v="1"/>
  </r>
  <r>
    <n v="1375"/>
    <x v="239"/>
    <s v="Ravi"/>
    <x v="5"/>
    <x v="2"/>
    <x v="1"/>
    <n v="1"/>
    <n v="1500"/>
    <n v="0.05"/>
    <n v="1425"/>
    <x v="9"/>
  </r>
  <r>
    <n v="1376"/>
    <x v="206"/>
    <s v="Rahul"/>
    <x v="2"/>
    <x v="2"/>
    <x v="1"/>
    <n v="3"/>
    <n v="1500"/>
    <n v="0.05"/>
    <n v="4275"/>
    <x v="1"/>
  </r>
  <r>
    <n v="1128"/>
    <x v="240"/>
    <s v="Karan"/>
    <x v="5"/>
    <x v="0"/>
    <x v="0"/>
    <n v="5"/>
    <n v="20000"/>
    <n v="0.05"/>
    <n v="95000"/>
    <x v="5"/>
  </r>
  <r>
    <n v="1378"/>
    <x v="241"/>
    <s v="Sneha"/>
    <x v="0"/>
    <x v="6"/>
    <x v="0"/>
    <n v="4"/>
    <n v="12000"/>
    <n v="0.15"/>
    <n v="40800"/>
    <x v="9"/>
  </r>
  <r>
    <n v="1195"/>
    <x v="242"/>
    <s v="Manish"/>
    <x v="2"/>
    <x v="0"/>
    <x v="0"/>
    <n v="5"/>
    <n v="20000"/>
    <n v="0.05"/>
    <n v="95000"/>
    <x v="6"/>
  </r>
  <r>
    <n v="1380"/>
    <x v="54"/>
    <s v="Karan"/>
    <x v="2"/>
    <x v="0"/>
    <x v="0"/>
    <n v="1"/>
    <n v="20000"/>
    <n v="0"/>
    <n v="20000"/>
    <x v="3"/>
  </r>
  <r>
    <n v="1381"/>
    <x v="214"/>
    <s v="Manish"/>
    <x v="4"/>
    <x v="0"/>
    <x v="0"/>
    <n v="2"/>
    <n v="20000"/>
    <n v="0"/>
    <n v="40000"/>
    <x v="1"/>
  </r>
  <r>
    <n v="1222"/>
    <x v="243"/>
    <s v="Sneha"/>
    <x v="0"/>
    <x v="0"/>
    <x v="0"/>
    <n v="5"/>
    <n v="20000"/>
    <n v="0.05"/>
    <n v="95000"/>
    <x v="4"/>
  </r>
  <r>
    <n v="1327"/>
    <x v="68"/>
    <s v="Aman"/>
    <x v="2"/>
    <x v="0"/>
    <x v="0"/>
    <n v="5"/>
    <n v="20000"/>
    <n v="0.05"/>
    <n v="95000"/>
    <x v="0"/>
  </r>
  <r>
    <n v="1384"/>
    <x v="244"/>
    <s v="Priya"/>
    <x v="1"/>
    <x v="7"/>
    <x v="2"/>
    <n v="1"/>
    <n v="7000"/>
    <n v="0.15"/>
    <n v="5950"/>
    <x v="1"/>
  </r>
  <r>
    <n v="1385"/>
    <x v="140"/>
    <s v="Pooja"/>
    <x v="4"/>
    <x v="3"/>
    <x v="0"/>
    <n v="2"/>
    <n v="30000"/>
    <n v="0.05"/>
    <n v="57000"/>
    <x v="5"/>
  </r>
  <r>
    <n v="1386"/>
    <x v="192"/>
    <s v="Arjun"/>
    <x v="7"/>
    <x v="7"/>
    <x v="2"/>
    <n v="4"/>
    <n v="7000"/>
    <n v="0"/>
    <n v="28000"/>
    <x v="3"/>
  </r>
  <r>
    <n v="1387"/>
    <x v="245"/>
    <s v="Neha"/>
    <x v="3"/>
    <x v="5"/>
    <x v="2"/>
    <n v="2"/>
    <n v="3000"/>
    <n v="0.1"/>
    <n v="5400"/>
    <x v="7"/>
  </r>
  <r>
    <n v="1388"/>
    <x v="133"/>
    <s v="Simran"/>
    <x v="3"/>
    <x v="0"/>
    <x v="0"/>
    <n v="4"/>
    <n v="20000"/>
    <n v="0.15"/>
    <n v="68000"/>
    <x v="3"/>
  </r>
  <r>
    <n v="1389"/>
    <x v="200"/>
    <s v="Kavya"/>
    <x v="4"/>
    <x v="1"/>
    <x v="0"/>
    <n v="2"/>
    <n v="50000"/>
    <n v="0"/>
    <n v="100000"/>
    <x v="11"/>
  </r>
  <r>
    <n v="1668"/>
    <x v="135"/>
    <s v="Arjun"/>
    <x v="1"/>
    <x v="0"/>
    <x v="0"/>
    <n v="5"/>
    <n v="20000"/>
    <n v="0.05"/>
    <n v="95000"/>
    <x v="3"/>
  </r>
  <r>
    <n v="1391"/>
    <x v="245"/>
    <s v="Pooja"/>
    <x v="3"/>
    <x v="7"/>
    <x v="2"/>
    <n v="1"/>
    <n v="7000"/>
    <n v="0"/>
    <n v="7000"/>
    <x v="7"/>
  </r>
  <r>
    <n v="1392"/>
    <x v="11"/>
    <s v="Karan"/>
    <x v="6"/>
    <x v="3"/>
    <x v="0"/>
    <n v="3"/>
    <n v="30000"/>
    <n v="0"/>
    <n v="90000"/>
    <x v="1"/>
  </r>
  <r>
    <n v="1393"/>
    <x v="95"/>
    <s v="Sanjay"/>
    <x v="6"/>
    <x v="0"/>
    <x v="0"/>
    <n v="3"/>
    <n v="20000"/>
    <n v="0.05"/>
    <n v="57000"/>
    <x v="2"/>
  </r>
  <r>
    <n v="1394"/>
    <x v="98"/>
    <s v="Neha"/>
    <x v="4"/>
    <x v="4"/>
    <x v="1"/>
    <n v="4"/>
    <n v="2000"/>
    <n v="0.05"/>
    <n v="7600"/>
    <x v="7"/>
  </r>
  <r>
    <n v="1395"/>
    <x v="246"/>
    <s v="Neha"/>
    <x v="4"/>
    <x v="1"/>
    <x v="0"/>
    <n v="1"/>
    <n v="50000"/>
    <n v="0.15"/>
    <n v="42500"/>
    <x v="1"/>
  </r>
  <r>
    <n v="1396"/>
    <x v="247"/>
    <s v="Pooja"/>
    <x v="7"/>
    <x v="2"/>
    <x v="1"/>
    <n v="3"/>
    <n v="1500"/>
    <n v="0"/>
    <n v="4500"/>
    <x v="5"/>
  </r>
  <r>
    <n v="1397"/>
    <x v="46"/>
    <s v="Arjun"/>
    <x v="6"/>
    <x v="6"/>
    <x v="0"/>
    <n v="2"/>
    <n v="12000"/>
    <n v="0.1"/>
    <n v="21600"/>
    <x v="2"/>
  </r>
  <r>
    <n v="1993"/>
    <x v="231"/>
    <s v="Arjun"/>
    <x v="7"/>
    <x v="0"/>
    <x v="0"/>
    <n v="5"/>
    <n v="20000"/>
    <n v="0.05"/>
    <n v="95000"/>
    <x v="8"/>
  </r>
  <r>
    <n v="1399"/>
    <x v="191"/>
    <s v="Arjun"/>
    <x v="0"/>
    <x v="0"/>
    <x v="0"/>
    <n v="1"/>
    <n v="20000"/>
    <n v="0.1"/>
    <n v="18000"/>
    <x v="9"/>
  </r>
  <r>
    <n v="1400"/>
    <x v="118"/>
    <s v="Neha"/>
    <x v="3"/>
    <x v="2"/>
    <x v="1"/>
    <n v="3"/>
    <n v="1500"/>
    <n v="0.1"/>
    <n v="4050"/>
    <x v="10"/>
  </r>
  <r>
    <n v="1401"/>
    <x v="248"/>
    <s v="Priya"/>
    <x v="0"/>
    <x v="7"/>
    <x v="2"/>
    <n v="4"/>
    <n v="7000"/>
    <n v="0.1"/>
    <n v="25200"/>
    <x v="0"/>
  </r>
  <r>
    <n v="1402"/>
    <x v="188"/>
    <s v="Kavya"/>
    <x v="1"/>
    <x v="0"/>
    <x v="0"/>
    <n v="2"/>
    <n v="20000"/>
    <n v="0.15"/>
    <n v="34000"/>
    <x v="6"/>
  </r>
  <r>
    <n v="1403"/>
    <x v="46"/>
    <s v="Neha"/>
    <x v="4"/>
    <x v="1"/>
    <x v="0"/>
    <n v="1"/>
    <n v="50000"/>
    <n v="0.1"/>
    <n v="45000"/>
    <x v="2"/>
  </r>
  <r>
    <n v="1404"/>
    <x v="54"/>
    <s v="Arjun"/>
    <x v="1"/>
    <x v="2"/>
    <x v="1"/>
    <n v="1"/>
    <n v="1500"/>
    <n v="0.1"/>
    <n v="1350"/>
    <x v="3"/>
  </r>
  <r>
    <n v="1258"/>
    <x v="249"/>
    <s v="Ravi"/>
    <x v="6"/>
    <x v="0"/>
    <x v="0"/>
    <n v="5"/>
    <n v="20000"/>
    <n v="0.1"/>
    <n v="90000"/>
    <x v="10"/>
  </r>
  <r>
    <n v="1406"/>
    <x v="221"/>
    <s v="Simran"/>
    <x v="0"/>
    <x v="3"/>
    <x v="0"/>
    <n v="3"/>
    <n v="30000"/>
    <n v="0.1"/>
    <n v="81000"/>
    <x v="0"/>
  </r>
  <r>
    <n v="1407"/>
    <x v="145"/>
    <s v="Kavya"/>
    <x v="5"/>
    <x v="0"/>
    <x v="0"/>
    <n v="2"/>
    <n v="20000"/>
    <n v="0.15"/>
    <n v="34000"/>
    <x v="0"/>
  </r>
  <r>
    <n v="1408"/>
    <x v="250"/>
    <s v="Sanjay"/>
    <x v="7"/>
    <x v="6"/>
    <x v="0"/>
    <n v="1"/>
    <n v="12000"/>
    <n v="0.1"/>
    <n v="10800"/>
    <x v="0"/>
  </r>
  <r>
    <n v="1409"/>
    <x v="158"/>
    <s v="Vikas"/>
    <x v="3"/>
    <x v="5"/>
    <x v="2"/>
    <n v="4"/>
    <n v="3000"/>
    <n v="0"/>
    <n v="12000"/>
    <x v="9"/>
  </r>
  <r>
    <n v="1410"/>
    <x v="251"/>
    <s v="Manish"/>
    <x v="4"/>
    <x v="2"/>
    <x v="1"/>
    <n v="3"/>
    <n v="1500"/>
    <n v="0.15"/>
    <n v="3825"/>
    <x v="4"/>
  </r>
  <r>
    <n v="1493"/>
    <x v="91"/>
    <s v="Aman"/>
    <x v="0"/>
    <x v="0"/>
    <x v="0"/>
    <n v="5"/>
    <n v="20000"/>
    <n v="0.1"/>
    <n v="90000"/>
    <x v="9"/>
  </r>
  <r>
    <n v="1412"/>
    <x v="223"/>
    <s v="Rahul"/>
    <x v="5"/>
    <x v="6"/>
    <x v="0"/>
    <n v="3"/>
    <n v="12000"/>
    <n v="0.05"/>
    <n v="34200"/>
    <x v="3"/>
  </r>
  <r>
    <n v="1514"/>
    <x v="252"/>
    <s v="Ravi"/>
    <x v="1"/>
    <x v="0"/>
    <x v="0"/>
    <n v="5"/>
    <n v="20000"/>
    <n v="0.1"/>
    <n v="90000"/>
    <x v="10"/>
  </r>
  <r>
    <n v="1414"/>
    <x v="95"/>
    <s v="Anjali"/>
    <x v="0"/>
    <x v="2"/>
    <x v="1"/>
    <n v="3"/>
    <n v="1500"/>
    <n v="0"/>
    <n v="4500"/>
    <x v="2"/>
  </r>
  <r>
    <n v="1415"/>
    <x v="253"/>
    <s v="Vikas"/>
    <x v="1"/>
    <x v="1"/>
    <x v="0"/>
    <n v="4"/>
    <n v="50000"/>
    <n v="0.05"/>
    <n v="190000"/>
    <x v="6"/>
  </r>
  <r>
    <n v="1416"/>
    <x v="247"/>
    <s v="Vikas"/>
    <x v="2"/>
    <x v="2"/>
    <x v="1"/>
    <n v="4"/>
    <n v="1500"/>
    <n v="0.05"/>
    <n v="5700"/>
    <x v="5"/>
  </r>
  <r>
    <n v="1417"/>
    <x v="133"/>
    <s v="Neha"/>
    <x v="7"/>
    <x v="7"/>
    <x v="2"/>
    <n v="2"/>
    <n v="7000"/>
    <n v="0.15"/>
    <n v="11900"/>
    <x v="3"/>
  </r>
  <r>
    <n v="1613"/>
    <x v="254"/>
    <s v="Karan"/>
    <x v="2"/>
    <x v="0"/>
    <x v="0"/>
    <n v="5"/>
    <n v="20000"/>
    <n v="0.1"/>
    <n v="90000"/>
    <x v="6"/>
  </r>
  <r>
    <n v="1639"/>
    <x v="255"/>
    <s v="Anjali"/>
    <x v="7"/>
    <x v="0"/>
    <x v="0"/>
    <n v="5"/>
    <n v="20000"/>
    <n v="0.1"/>
    <n v="90000"/>
    <x v="11"/>
  </r>
  <r>
    <n v="1708"/>
    <x v="256"/>
    <s v="Sanjay"/>
    <x v="6"/>
    <x v="0"/>
    <x v="0"/>
    <n v="5"/>
    <n v="20000"/>
    <n v="0.1"/>
    <n v="90000"/>
    <x v="3"/>
  </r>
  <r>
    <n v="1421"/>
    <x v="257"/>
    <s v="Pooja"/>
    <x v="2"/>
    <x v="2"/>
    <x v="1"/>
    <n v="1"/>
    <n v="1500"/>
    <n v="0"/>
    <n v="1500"/>
    <x v="10"/>
  </r>
  <r>
    <n v="1422"/>
    <x v="258"/>
    <s v="Manish"/>
    <x v="0"/>
    <x v="5"/>
    <x v="2"/>
    <n v="4"/>
    <n v="3000"/>
    <n v="0.1"/>
    <n v="10800"/>
    <x v="3"/>
  </r>
  <r>
    <n v="1423"/>
    <x v="259"/>
    <s v="Vikas"/>
    <x v="6"/>
    <x v="4"/>
    <x v="1"/>
    <n v="1"/>
    <n v="2000"/>
    <n v="0.15"/>
    <n v="1700"/>
    <x v="10"/>
  </r>
  <r>
    <n v="1424"/>
    <x v="243"/>
    <s v="Vikas"/>
    <x v="4"/>
    <x v="0"/>
    <x v="0"/>
    <n v="1"/>
    <n v="20000"/>
    <n v="0.05"/>
    <n v="19000"/>
    <x v="4"/>
  </r>
  <r>
    <n v="1425"/>
    <x v="243"/>
    <s v="Simran"/>
    <x v="1"/>
    <x v="6"/>
    <x v="0"/>
    <n v="2"/>
    <n v="12000"/>
    <n v="0.15"/>
    <n v="20400"/>
    <x v="4"/>
  </r>
  <r>
    <n v="1426"/>
    <x v="249"/>
    <s v="Vikas"/>
    <x v="3"/>
    <x v="6"/>
    <x v="0"/>
    <n v="4"/>
    <n v="12000"/>
    <n v="0.1"/>
    <n v="43200"/>
    <x v="10"/>
  </r>
  <r>
    <n v="1427"/>
    <x v="240"/>
    <s v="Priya"/>
    <x v="0"/>
    <x v="0"/>
    <x v="0"/>
    <n v="1"/>
    <n v="20000"/>
    <n v="0.1"/>
    <n v="18000"/>
    <x v="5"/>
  </r>
  <r>
    <n v="1994"/>
    <x v="107"/>
    <s v="Vikas"/>
    <x v="6"/>
    <x v="0"/>
    <x v="0"/>
    <n v="5"/>
    <n v="20000"/>
    <n v="0.1"/>
    <n v="90000"/>
    <x v="4"/>
  </r>
  <r>
    <n v="1429"/>
    <x v="174"/>
    <s v="Rohit"/>
    <x v="0"/>
    <x v="2"/>
    <x v="1"/>
    <n v="4"/>
    <n v="1500"/>
    <n v="0.05"/>
    <n v="5700"/>
    <x v="3"/>
  </r>
  <r>
    <n v="1430"/>
    <x v="198"/>
    <s v="Anjali"/>
    <x v="7"/>
    <x v="2"/>
    <x v="1"/>
    <n v="4"/>
    <n v="1500"/>
    <n v="0"/>
    <n v="6000"/>
    <x v="5"/>
  </r>
  <r>
    <n v="1431"/>
    <x v="108"/>
    <s v="Anjali"/>
    <x v="2"/>
    <x v="2"/>
    <x v="1"/>
    <n v="4"/>
    <n v="1500"/>
    <n v="0"/>
    <n v="6000"/>
    <x v="7"/>
  </r>
  <r>
    <n v="1432"/>
    <x v="260"/>
    <s v="Rohit"/>
    <x v="4"/>
    <x v="7"/>
    <x v="2"/>
    <n v="1"/>
    <n v="7000"/>
    <n v="0"/>
    <n v="7000"/>
    <x v="2"/>
  </r>
  <r>
    <n v="1433"/>
    <x v="261"/>
    <s v="Pooja"/>
    <x v="7"/>
    <x v="4"/>
    <x v="1"/>
    <n v="2"/>
    <n v="2000"/>
    <n v="0.15"/>
    <n v="3400"/>
    <x v="10"/>
  </r>
  <r>
    <n v="1347"/>
    <x v="29"/>
    <s v="Manish"/>
    <x v="0"/>
    <x v="0"/>
    <x v="0"/>
    <n v="5"/>
    <n v="20000"/>
    <n v="0.15"/>
    <n v="85000"/>
    <x v="8"/>
  </r>
  <r>
    <n v="1435"/>
    <x v="262"/>
    <s v="Rohit"/>
    <x v="5"/>
    <x v="4"/>
    <x v="1"/>
    <n v="3"/>
    <n v="2000"/>
    <n v="0.15"/>
    <n v="5100"/>
    <x v="5"/>
  </r>
  <r>
    <n v="1436"/>
    <x v="113"/>
    <s v="Sanjay"/>
    <x v="5"/>
    <x v="0"/>
    <x v="0"/>
    <n v="2"/>
    <n v="20000"/>
    <n v="0.1"/>
    <n v="36000"/>
    <x v="9"/>
  </r>
  <r>
    <n v="1437"/>
    <x v="75"/>
    <s v="Karan"/>
    <x v="6"/>
    <x v="0"/>
    <x v="0"/>
    <n v="2"/>
    <n v="20000"/>
    <n v="0.1"/>
    <n v="36000"/>
    <x v="7"/>
  </r>
  <r>
    <n v="1758"/>
    <x v="182"/>
    <s v="Ravi"/>
    <x v="3"/>
    <x v="0"/>
    <x v="0"/>
    <n v="5"/>
    <n v="20000"/>
    <n v="0.15"/>
    <n v="85000"/>
    <x v="4"/>
  </r>
  <r>
    <n v="1439"/>
    <x v="89"/>
    <s v="Rohit"/>
    <x v="7"/>
    <x v="3"/>
    <x v="0"/>
    <n v="4"/>
    <n v="30000"/>
    <n v="0.05"/>
    <n v="114000"/>
    <x v="2"/>
  </r>
  <r>
    <n v="1440"/>
    <x v="182"/>
    <s v="Manish"/>
    <x v="3"/>
    <x v="7"/>
    <x v="2"/>
    <n v="2"/>
    <n v="7000"/>
    <n v="0.05"/>
    <n v="13300"/>
    <x v="4"/>
  </r>
  <r>
    <n v="1441"/>
    <x v="158"/>
    <s v="Anjali"/>
    <x v="6"/>
    <x v="4"/>
    <x v="1"/>
    <n v="1"/>
    <n v="2000"/>
    <n v="0.15"/>
    <n v="1700"/>
    <x v="9"/>
  </r>
  <r>
    <n v="1442"/>
    <x v="135"/>
    <s v="Manish"/>
    <x v="7"/>
    <x v="6"/>
    <x v="0"/>
    <n v="4"/>
    <n v="12000"/>
    <n v="0.15"/>
    <n v="40800"/>
    <x v="3"/>
  </r>
  <r>
    <n v="1443"/>
    <x v="263"/>
    <s v="Vikas"/>
    <x v="3"/>
    <x v="3"/>
    <x v="0"/>
    <n v="1"/>
    <n v="30000"/>
    <n v="0"/>
    <n v="30000"/>
    <x v="1"/>
  </r>
  <r>
    <n v="1444"/>
    <x v="241"/>
    <s v="Manish"/>
    <x v="7"/>
    <x v="7"/>
    <x v="2"/>
    <n v="2"/>
    <n v="7000"/>
    <n v="0.1"/>
    <n v="12600"/>
    <x v="9"/>
  </r>
  <r>
    <n v="1816"/>
    <x v="264"/>
    <s v="Simran"/>
    <x v="0"/>
    <x v="0"/>
    <x v="0"/>
    <n v="5"/>
    <n v="20000"/>
    <n v="0.15"/>
    <n v="85000"/>
    <x v="1"/>
  </r>
  <r>
    <n v="1887"/>
    <x v="67"/>
    <s v="Rohit"/>
    <x v="6"/>
    <x v="0"/>
    <x v="0"/>
    <n v="5"/>
    <n v="20000"/>
    <n v="0.15"/>
    <n v="85000"/>
    <x v="11"/>
  </r>
  <r>
    <n v="1447"/>
    <x v="103"/>
    <s v="Sneha"/>
    <x v="1"/>
    <x v="7"/>
    <x v="2"/>
    <n v="1"/>
    <n v="7000"/>
    <n v="0.15"/>
    <n v="5950"/>
    <x v="0"/>
  </r>
  <r>
    <n v="1448"/>
    <x v="265"/>
    <s v="Sneha"/>
    <x v="6"/>
    <x v="6"/>
    <x v="0"/>
    <n v="1"/>
    <n v="12000"/>
    <n v="0.05"/>
    <n v="11400"/>
    <x v="1"/>
  </r>
  <r>
    <n v="1942"/>
    <x v="266"/>
    <s v="Priya"/>
    <x v="7"/>
    <x v="0"/>
    <x v="0"/>
    <n v="5"/>
    <n v="20000"/>
    <n v="0.15"/>
    <n v="85000"/>
    <x v="4"/>
  </r>
  <r>
    <n v="1076"/>
    <x v="117"/>
    <s v="Kavya"/>
    <x v="2"/>
    <x v="6"/>
    <x v="0"/>
    <n v="5"/>
    <n v="12000"/>
    <n v="0"/>
    <n v="60000"/>
    <x v="6"/>
  </r>
  <r>
    <n v="1451"/>
    <x v="59"/>
    <s v="Priya"/>
    <x v="0"/>
    <x v="7"/>
    <x v="2"/>
    <n v="3"/>
    <n v="7000"/>
    <n v="0.1"/>
    <n v="18900"/>
    <x v="11"/>
  </r>
  <r>
    <n v="1452"/>
    <x v="220"/>
    <s v="Karan"/>
    <x v="0"/>
    <x v="2"/>
    <x v="1"/>
    <n v="1"/>
    <n v="1500"/>
    <n v="0.1"/>
    <n v="1350"/>
    <x v="7"/>
  </r>
  <r>
    <n v="1453"/>
    <x v="72"/>
    <s v="Arjun"/>
    <x v="7"/>
    <x v="5"/>
    <x v="2"/>
    <n v="2"/>
    <n v="3000"/>
    <n v="0.1"/>
    <n v="5400"/>
    <x v="0"/>
  </r>
  <r>
    <n v="1701"/>
    <x v="223"/>
    <s v="Sneha"/>
    <x v="3"/>
    <x v="6"/>
    <x v="0"/>
    <n v="5"/>
    <n v="12000"/>
    <n v="0"/>
    <n v="60000"/>
    <x v="3"/>
  </r>
  <r>
    <n v="1455"/>
    <x v="109"/>
    <s v="Pooja"/>
    <x v="4"/>
    <x v="6"/>
    <x v="0"/>
    <n v="1"/>
    <n v="12000"/>
    <n v="0"/>
    <n v="12000"/>
    <x v="3"/>
  </r>
  <r>
    <n v="1456"/>
    <x v="267"/>
    <s v="Ravi"/>
    <x v="1"/>
    <x v="6"/>
    <x v="0"/>
    <n v="4"/>
    <n v="12000"/>
    <n v="0.1"/>
    <n v="43200"/>
    <x v="2"/>
  </r>
  <r>
    <n v="1457"/>
    <x v="222"/>
    <s v="Arjun"/>
    <x v="2"/>
    <x v="6"/>
    <x v="0"/>
    <n v="3"/>
    <n v="12000"/>
    <n v="0"/>
    <n v="36000"/>
    <x v="11"/>
  </r>
  <r>
    <n v="1458"/>
    <x v="221"/>
    <s v="Rahul"/>
    <x v="5"/>
    <x v="2"/>
    <x v="1"/>
    <n v="2"/>
    <n v="1500"/>
    <n v="0.15"/>
    <n v="2550"/>
    <x v="0"/>
  </r>
  <r>
    <n v="1746"/>
    <x v="268"/>
    <s v="Priya"/>
    <x v="5"/>
    <x v="6"/>
    <x v="0"/>
    <n v="5"/>
    <n v="12000"/>
    <n v="0"/>
    <n v="60000"/>
    <x v="11"/>
  </r>
  <r>
    <n v="1460"/>
    <x v="100"/>
    <s v="Manish"/>
    <x v="3"/>
    <x v="1"/>
    <x v="0"/>
    <n v="1"/>
    <n v="50000"/>
    <n v="0"/>
    <n v="50000"/>
    <x v="5"/>
  </r>
  <r>
    <n v="1461"/>
    <x v="117"/>
    <s v="Ravi"/>
    <x v="6"/>
    <x v="0"/>
    <x v="0"/>
    <n v="2"/>
    <n v="20000"/>
    <n v="0.15"/>
    <n v="34000"/>
    <x v="6"/>
  </r>
  <r>
    <n v="1462"/>
    <x v="269"/>
    <s v="Pooja"/>
    <x v="1"/>
    <x v="5"/>
    <x v="2"/>
    <n v="2"/>
    <n v="3000"/>
    <n v="0.1"/>
    <n v="5400"/>
    <x v="9"/>
  </r>
  <r>
    <n v="1463"/>
    <x v="186"/>
    <s v="Rohit"/>
    <x v="3"/>
    <x v="4"/>
    <x v="1"/>
    <n v="3"/>
    <n v="2000"/>
    <n v="0"/>
    <n v="6000"/>
    <x v="3"/>
  </r>
  <r>
    <n v="1464"/>
    <x v="160"/>
    <s v="Neha"/>
    <x v="1"/>
    <x v="2"/>
    <x v="1"/>
    <n v="3"/>
    <n v="1500"/>
    <n v="0.05"/>
    <n v="4275"/>
    <x v="6"/>
  </r>
  <r>
    <n v="1465"/>
    <x v="73"/>
    <s v="Karan"/>
    <x v="2"/>
    <x v="1"/>
    <x v="0"/>
    <n v="2"/>
    <n v="50000"/>
    <n v="0.15"/>
    <n v="85000"/>
    <x v="10"/>
  </r>
  <r>
    <n v="1466"/>
    <x v="270"/>
    <s v="Rahul"/>
    <x v="1"/>
    <x v="6"/>
    <x v="0"/>
    <n v="1"/>
    <n v="12000"/>
    <n v="0"/>
    <n v="12000"/>
    <x v="7"/>
  </r>
  <r>
    <n v="1467"/>
    <x v="271"/>
    <s v="Sanjay"/>
    <x v="6"/>
    <x v="2"/>
    <x v="1"/>
    <n v="2"/>
    <n v="1500"/>
    <n v="0.15"/>
    <n v="2550"/>
    <x v="10"/>
  </r>
  <r>
    <n v="1468"/>
    <x v="218"/>
    <s v="Sneha"/>
    <x v="5"/>
    <x v="0"/>
    <x v="0"/>
    <n v="1"/>
    <n v="20000"/>
    <n v="0"/>
    <n v="20000"/>
    <x v="4"/>
  </r>
  <r>
    <n v="1469"/>
    <x v="146"/>
    <s v="Karan"/>
    <x v="1"/>
    <x v="3"/>
    <x v="0"/>
    <n v="4"/>
    <n v="30000"/>
    <n v="0.05"/>
    <n v="114000"/>
    <x v="5"/>
  </r>
  <r>
    <n v="1841"/>
    <x v="56"/>
    <s v="Kavya"/>
    <x v="5"/>
    <x v="6"/>
    <x v="0"/>
    <n v="5"/>
    <n v="12000"/>
    <n v="0"/>
    <n v="60000"/>
    <x v="1"/>
  </r>
  <r>
    <n v="1471"/>
    <x v="214"/>
    <s v="Neha"/>
    <x v="1"/>
    <x v="3"/>
    <x v="0"/>
    <n v="4"/>
    <n v="30000"/>
    <n v="0.15"/>
    <n v="102000"/>
    <x v="1"/>
  </r>
  <r>
    <n v="1472"/>
    <x v="6"/>
    <s v="Kavya"/>
    <x v="4"/>
    <x v="3"/>
    <x v="0"/>
    <n v="1"/>
    <n v="30000"/>
    <n v="0.15"/>
    <n v="25500"/>
    <x v="4"/>
  </r>
  <r>
    <n v="1473"/>
    <x v="96"/>
    <s v="Neha"/>
    <x v="2"/>
    <x v="3"/>
    <x v="0"/>
    <n v="2"/>
    <n v="30000"/>
    <n v="0.1"/>
    <n v="54000"/>
    <x v="5"/>
  </r>
  <r>
    <n v="1474"/>
    <x v="16"/>
    <s v="Anjali"/>
    <x v="6"/>
    <x v="7"/>
    <x v="2"/>
    <n v="1"/>
    <n v="7000"/>
    <n v="0.1"/>
    <n v="6300"/>
    <x v="1"/>
  </r>
  <r>
    <n v="1475"/>
    <x v="87"/>
    <s v="Arjun"/>
    <x v="1"/>
    <x v="7"/>
    <x v="2"/>
    <n v="1"/>
    <n v="7000"/>
    <n v="0.05"/>
    <n v="6650"/>
    <x v="11"/>
  </r>
  <r>
    <n v="1476"/>
    <x v="205"/>
    <s v="Ravi"/>
    <x v="4"/>
    <x v="5"/>
    <x v="2"/>
    <n v="4"/>
    <n v="3000"/>
    <n v="0"/>
    <n v="12000"/>
    <x v="11"/>
  </r>
  <r>
    <n v="1477"/>
    <x v="39"/>
    <s v="Kavya"/>
    <x v="4"/>
    <x v="4"/>
    <x v="1"/>
    <n v="2"/>
    <n v="2000"/>
    <n v="0.15"/>
    <n v="3400"/>
    <x v="2"/>
  </r>
  <r>
    <n v="1478"/>
    <x v="272"/>
    <s v="Neha"/>
    <x v="3"/>
    <x v="3"/>
    <x v="0"/>
    <n v="4"/>
    <n v="30000"/>
    <n v="0"/>
    <n v="120000"/>
    <x v="8"/>
  </r>
  <r>
    <n v="1479"/>
    <x v="35"/>
    <s v="Arjun"/>
    <x v="5"/>
    <x v="7"/>
    <x v="2"/>
    <n v="2"/>
    <n v="7000"/>
    <n v="0"/>
    <n v="14000"/>
    <x v="8"/>
  </r>
  <r>
    <n v="1480"/>
    <x v="273"/>
    <s v="Karan"/>
    <x v="5"/>
    <x v="2"/>
    <x v="1"/>
    <n v="4"/>
    <n v="1500"/>
    <n v="0.15"/>
    <n v="5100"/>
    <x v="10"/>
  </r>
  <r>
    <n v="1481"/>
    <x v="67"/>
    <s v="Anjali"/>
    <x v="0"/>
    <x v="0"/>
    <x v="0"/>
    <n v="3"/>
    <n v="20000"/>
    <n v="0"/>
    <n v="60000"/>
    <x v="11"/>
  </r>
  <r>
    <n v="1482"/>
    <x v="176"/>
    <s v="Kavya"/>
    <x v="2"/>
    <x v="4"/>
    <x v="1"/>
    <n v="4"/>
    <n v="2000"/>
    <n v="0"/>
    <n v="8000"/>
    <x v="4"/>
  </r>
  <r>
    <n v="1483"/>
    <x v="20"/>
    <s v="Priya"/>
    <x v="7"/>
    <x v="1"/>
    <x v="0"/>
    <n v="2"/>
    <n v="50000"/>
    <n v="0"/>
    <n v="100000"/>
    <x v="6"/>
  </r>
  <r>
    <n v="1484"/>
    <x v="91"/>
    <s v="Ravi"/>
    <x v="0"/>
    <x v="1"/>
    <x v="0"/>
    <n v="3"/>
    <n v="50000"/>
    <n v="0.05"/>
    <n v="142500"/>
    <x v="9"/>
  </r>
  <r>
    <n v="1485"/>
    <x v="235"/>
    <s v="Pooja"/>
    <x v="0"/>
    <x v="1"/>
    <x v="0"/>
    <n v="2"/>
    <n v="50000"/>
    <n v="0.15"/>
    <n v="85000"/>
    <x v="4"/>
  </r>
  <r>
    <n v="1486"/>
    <x v="113"/>
    <s v="Ravi"/>
    <x v="4"/>
    <x v="4"/>
    <x v="1"/>
    <n v="2"/>
    <n v="2000"/>
    <n v="0.1"/>
    <n v="3600"/>
    <x v="9"/>
  </r>
  <r>
    <n v="1487"/>
    <x v="103"/>
    <s v="Neha"/>
    <x v="7"/>
    <x v="2"/>
    <x v="1"/>
    <n v="3"/>
    <n v="1500"/>
    <n v="0"/>
    <n v="4500"/>
    <x v="0"/>
  </r>
  <r>
    <n v="1892"/>
    <x v="274"/>
    <s v="Simran"/>
    <x v="2"/>
    <x v="6"/>
    <x v="0"/>
    <n v="5"/>
    <n v="12000"/>
    <n v="0"/>
    <n v="60000"/>
    <x v="5"/>
  </r>
  <r>
    <n v="1489"/>
    <x v="84"/>
    <s v="Priya"/>
    <x v="2"/>
    <x v="4"/>
    <x v="1"/>
    <n v="2"/>
    <n v="2000"/>
    <n v="0.1"/>
    <n v="3600"/>
    <x v="10"/>
  </r>
  <r>
    <n v="1490"/>
    <x v="0"/>
    <s v="Aman"/>
    <x v="7"/>
    <x v="1"/>
    <x v="0"/>
    <n v="1"/>
    <n v="50000"/>
    <n v="0"/>
    <n v="50000"/>
    <x v="0"/>
  </r>
  <r>
    <n v="1491"/>
    <x v="244"/>
    <s v="Aman"/>
    <x v="6"/>
    <x v="4"/>
    <x v="1"/>
    <n v="4"/>
    <n v="2000"/>
    <n v="0.05"/>
    <n v="7600"/>
    <x v="1"/>
  </r>
  <r>
    <n v="1492"/>
    <x v="275"/>
    <s v="Rahul"/>
    <x v="5"/>
    <x v="5"/>
    <x v="2"/>
    <n v="3"/>
    <n v="3000"/>
    <n v="0.05"/>
    <n v="8550"/>
    <x v="6"/>
  </r>
  <r>
    <n v="1160"/>
    <x v="246"/>
    <s v="Manish"/>
    <x v="5"/>
    <x v="6"/>
    <x v="0"/>
    <n v="5"/>
    <n v="12000"/>
    <n v="0.05"/>
    <n v="57000"/>
    <x v="1"/>
  </r>
  <r>
    <n v="1230"/>
    <x v="151"/>
    <s v="Manish"/>
    <x v="1"/>
    <x v="6"/>
    <x v="0"/>
    <n v="5"/>
    <n v="12000"/>
    <n v="0.05"/>
    <n v="57000"/>
    <x v="10"/>
  </r>
  <r>
    <n v="1495"/>
    <x v="224"/>
    <s v="Manish"/>
    <x v="3"/>
    <x v="7"/>
    <x v="2"/>
    <n v="3"/>
    <n v="7000"/>
    <n v="0.1"/>
    <n v="18900"/>
    <x v="10"/>
  </r>
  <r>
    <n v="1496"/>
    <x v="95"/>
    <s v="Vikas"/>
    <x v="2"/>
    <x v="4"/>
    <x v="1"/>
    <n v="2"/>
    <n v="2000"/>
    <n v="0.1"/>
    <n v="3600"/>
    <x v="2"/>
  </r>
  <r>
    <n v="1497"/>
    <x v="206"/>
    <s v="Sanjay"/>
    <x v="0"/>
    <x v="6"/>
    <x v="0"/>
    <n v="3"/>
    <n v="12000"/>
    <n v="0.15"/>
    <n v="30600"/>
    <x v="1"/>
  </r>
  <r>
    <n v="1498"/>
    <x v="2"/>
    <s v="Sneha"/>
    <x v="3"/>
    <x v="1"/>
    <x v="0"/>
    <n v="4"/>
    <n v="50000"/>
    <n v="0"/>
    <n v="200000"/>
    <x v="1"/>
  </r>
  <r>
    <n v="1499"/>
    <x v="227"/>
    <s v="Priya"/>
    <x v="2"/>
    <x v="4"/>
    <x v="1"/>
    <n v="1"/>
    <n v="2000"/>
    <n v="0.15"/>
    <n v="1700"/>
    <x v="4"/>
  </r>
  <r>
    <n v="1500"/>
    <x v="35"/>
    <s v="Karan"/>
    <x v="5"/>
    <x v="5"/>
    <x v="2"/>
    <n v="4"/>
    <n v="3000"/>
    <n v="0.15"/>
    <n v="10200"/>
    <x v="8"/>
  </r>
  <r>
    <n v="1501"/>
    <x v="276"/>
    <s v="Kavya"/>
    <x v="4"/>
    <x v="0"/>
    <x v="0"/>
    <n v="1"/>
    <n v="20000"/>
    <n v="0.05"/>
    <n v="19000"/>
    <x v="11"/>
  </r>
  <r>
    <n v="1502"/>
    <x v="210"/>
    <s v="Karan"/>
    <x v="6"/>
    <x v="6"/>
    <x v="0"/>
    <n v="1"/>
    <n v="12000"/>
    <n v="0"/>
    <n v="12000"/>
    <x v="11"/>
  </r>
  <r>
    <n v="1232"/>
    <x v="52"/>
    <s v="Sneha"/>
    <x v="5"/>
    <x v="6"/>
    <x v="0"/>
    <n v="5"/>
    <n v="12000"/>
    <n v="0.05"/>
    <n v="57000"/>
    <x v="3"/>
  </r>
  <r>
    <n v="1504"/>
    <x v="60"/>
    <s v="Rahul"/>
    <x v="4"/>
    <x v="7"/>
    <x v="2"/>
    <n v="3"/>
    <n v="7000"/>
    <n v="0.1"/>
    <n v="18900"/>
    <x v="3"/>
  </r>
  <r>
    <n v="1505"/>
    <x v="252"/>
    <s v="Anjali"/>
    <x v="0"/>
    <x v="6"/>
    <x v="0"/>
    <n v="3"/>
    <n v="12000"/>
    <n v="0.05"/>
    <n v="34200"/>
    <x v="10"/>
  </r>
  <r>
    <n v="1506"/>
    <x v="102"/>
    <s v="Manish"/>
    <x v="7"/>
    <x v="0"/>
    <x v="0"/>
    <n v="2"/>
    <n v="20000"/>
    <n v="0"/>
    <n v="40000"/>
    <x v="9"/>
  </r>
  <r>
    <n v="1507"/>
    <x v="260"/>
    <s v="Sneha"/>
    <x v="2"/>
    <x v="4"/>
    <x v="1"/>
    <n v="4"/>
    <n v="2000"/>
    <n v="0"/>
    <n v="8000"/>
    <x v="2"/>
  </r>
  <r>
    <n v="1508"/>
    <x v="138"/>
    <s v="Priya"/>
    <x v="1"/>
    <x v="6"/>
    <x v="0"/>
    <n v="3"/>
    <n v="12000"/>
    <n v="0.15"/>
    <n v="30600"/>
    <x v="0"/>
  </r>
  <r>
    <n v="1509"/>
    <x v="164"/>
    <s v="Rahul"/>
    <x v="0"/>
    <x v="3"/>
    <x v="0"/>
    <n v="3"/>
    <n v="30000"/>
    <n v="0"/>
    <n v="90000"/>
    <x v="1"/>
  </r>
  <r>
    <n v="1510"/>
    <x v="277"/>
    <s v="Aman"/>
    <x v="5"/>
    <x v="0"/>
    <x v="0"/>
    <n v="2"/>
    <n v="20000"/>
    <n v="0.1"/>
    <n v="36000"/>
    <x v="3"/>
  </r>
  <r>
    <n v="1511"/>
    <x v="174"/>
    <s v="Manish"/>
    <x v="2"/>
    <x v="7"/>
    <x v="2"/>
    <n v="2"/>
    <n v="7000"/>
    <n v="0"/>
    <n v="14000"/>
    <x v="3"/>
  </r>
  <r>
    <n v="1512"/>
    <x v="15"/>
    <s v="Priya"/>
    <x v="3"/>
    <x v="0"/>
    <x v="0"/>
    <n v="4"/>
    <n v="20000"/>
    <n v="0"/>
    <n v="80000"/>
    <x v="9"/>
  </r>
  <r>
    <n v="1513"/>
    <x v="130"/>
    <s v="Arjun"/>
    <x v="4"/>
    <x v="1"/>
    <x v="0"/>
    <n v="2"/>
    <n v="50000"/>
    <n v="0.05"/>
    <n v="95000"/>
    <x v="1"/>
  </r>
  <r>
    <n v="1344"/>
    <x v="72"/>
    <s v="Neha"/>
    <x v="7"/>
    <x v="6"/>
    <x v="0"/>
    <n v="5"/>
    <n v="12000"/>
    <n v="0.05"/>
    <n v="57000"/>
    <x v="0"/>
  </r>
  <r>
    <n v="1515"/>
    <x v="48"/>
    <s v="Rahul"/>
    <x v="1"/>
    <x v="5"/>
    <x v="2"/>
    <n v="4"/>
    <n v="3000"/>
    <n v="0.05"/>
    <n v="11400"/>
    <x v="10"/>
  </r>
  <r>
    <n v="1516"/>
    <x v="241"/>
    <s v="Kavya"/>
    <x v="6"/>
    <x v="1"/>
    <x v="0"/>
    <n v="4"/>
    <n v="50000"/>
    <n v="0"/>
    <n v="200000"/>
    <x v="9"/>
  </r>
  <r>
    <n v="1517"/>
    <x v="278"/>
    <s v="Kavya"/>
    <x v="0"/>
    <x v="6"/>
    <x v="0"/>
    <n v="1"/>
    <n v="12000"/>
    <n v="0.15"/>
    <n v="10200"/>
    <x v="7"/>
  </r>
  <r>
    <n v="1518"/>
    <x v="132"/>
    <s v="Pooja"/>
    <x v="7"/>
    <x v="4"/>
    <x v="1"/>
    <n v="2"/>
    <n v="2000"/>
    <n v="0.05"/>
    <n v="3800"/>
    <x v="0"/>
  </r>
  <r>
    <n v="1519"/>
    <x v="240"/>
    <s v="Vikas"/>
    <x v="7"/>
    <x v="3"/>
    <x v="0"/>
    <n v="1"/>
    <n v="30000"/>
    <n v="0.05"/>
    <n v="28500"/>
    <x v="5"/>
  </r>
  <r>
    <n v="1413"/>
    <x v="266"/>
    <s v="Arjun"/>
    <x v="5"/>
    <x v="6"/>
    <x v="0"/>
    <n v="5"/>
    <n v="12000"/>
    <n v="0.05"/>
    <n v="57000"/>
    <x v="4"/>
  </r>
  <r>
    <n v="1521"/>
    <x v="83"/>
    <s v="Sanjay"/>
    <x v="3"/>
    <x v="2"/>
    <x v="1"/>
    <n v="2"/>
    <n v="1500"/>
    <n v="0.15"/>
    <n v="2550"/>
    <x v="1"/>
  </r>
  <r>
    <n v="1522"/>
    <x v="195"/>
    <s v="Simran"/>
    <x v="4"/>
    <x v="2"/>
    <x v="1"/>
    <n v="3"/>
    <n v="1500"/>
    <n v="0.15"/>
    <n v="3825"/>
    <x v="2"/>
  </r>
  <r>
    <n v="1523"/>
    <x v="279"/>
    <s v="Ravi"/>
    <x v="4"/>
    <x v="4"/>
    <x v="1"/>
    <n v="4"/>
    <n v="2000"/>
    <n v="0.1"/>
    <n v="7200"/>
    <x v="1"/>
  </r>
  <r>
    <n v="1524"/>
    <x v="18"/>
    <s v="Simran"/>
    <x v="4"/>
    <x v="5"/>
    <x v="2"/>
    <n v="1"/>
    <n v="3000"/>
    <n v="0.1"/>
    <n v="2700"/>
    <x v="8"/>
  </r>
  <r>
    <n v="1525"/>
    <x v="72"/>
    <s v="Sanjay"/>
    <x v="5"/>
    <x v="5"/>
    <x v="2"/>
    <n v="2"/>
    <n v="3000"/>
    <n v="0"/>
    <n v="6000"/>
    <x v="0"/>
  </r>
  <r>
    <n v="1526"/>
    <x v="53"/>
    <s v="Rohit"/>
    <x v="0"/>
    <x v="1"/>
    <x v="0"/>
    <n v="2"/>
    <n v="50000"/>
    <n v="0.15"/>
    <n v="85000"/>
    <x v="4"/>
  </r>
  <r>
    <n v="1446"/>
    <x v="280"/>
    <s v="Priya"/>
    <x v="2"/>
    <x v="6"/>
    <x v="0"/>
    <n v="5"/>
    <n v="12000"/>
    <n v="0.05"/>
    <n v="57000"/>
    <x v="6"/>
  </r>
  <r>
    <n v="1544"/>
    <x v="148"/>
    <s v="Manish"/>
    <x v="1"/>
    <x v="6"/>
    <x v="0"/>
    <n v="5"/>
    <n v="12000"/>
    <n v="0.05"/>
    <n v="57000"/>
    <x v="9"/>
  </r>
  <r>
    <n v="1529"/>
    <x v="171"/>
    <s v="Neha"/>
    <x v="3"/>
    <x v="7"/>
    <x v="2"/>
    <n v="2"/>
    <n v="7000"/>
    <n v="0.15"/>
    <n v="11900"/>
    <x v="8"/>
  </r>
  <r>
    <n v="1849"/>
    <x v="27"/>
    <s v="Aman"/>
    <x v="2"/>
    <x v="6"/>
    <x v="0"/>
    <n v="5"/>
    <n v="12000"/>
    <n v="0.05"/>
    <n v="57000"/>
    <x v="6"/>
  </r>
  <r>
    <n v="1866"/>
    <x v="16"/>
    <s v="Karan"/>
    <x v="2"/>
    <x v="6"/>
    <x v="0"/>
    <n v="5"/>
    <n v="12000"/>
    <n v="0.05"/>
    <n v="57000"/>
    <x v="1"/>
  </r>
  <r>
    <n v="1532"/>
    <x v="281"/>
    <s v="Karan"/>
    <x v="1"/>
    <x v="4"/>
    <x v="1"/>
    <n v="1"/>
    <n v="2000"/>
    <n v="0"/>
    <n v="2000"/>
    <x v="9"/>
  </r>
  <r>
    <n v="1533"/>
    <x v="108"/>
    <s v="Arjun"/>
    <x v="1"/>
    <x v="4"/>
    <x v="1"/>
    <n v="1"/>
    <n v="2000"/>
    <n v="0.1"/>
    <n v="1800"/>
    <x v="7"/>
  </r>
  <r>
    <n v="1534"/>
    <x v="158"/>
    <s v="Rohit"/>
    <x v="6"/>
    <x v="4"/>
    <x v="1"/>
    <n v="3"/>
    <n v="2000"/>
    <n v="0.1"/>
    <n v="5400"/>
    <x v="9"/>
  </r>
  <r>
    <n v="1535"/>
    <x v="62"/>
    <s v="Sneha"/>
    <x v="2"/>
    <x v="6"/>
    <x v="0"/>
    <n v="3"/>
    <n v="12000"/>
    <n v="0.05"/>
    <n v="34200"/>
    <x v="7"/>
  </r>
  <r>
    <n v="1536"/>
    <x v="98"/>
    <s v="Vikas"/>
    <x v="0"/>
    <x v="3"/>
    <x v="0"/>
    <n v="4"/>
    <n v="30000"/>
    <n v="0.1"/>
    <n v="108000"/>
    <x v="7"/>
  </r>
  <r>
    <n v="1537"/>
    <x v="282"/>
    <s v="Aman"/>
    <x v="0"/>
    <x v="3"/>
    <x v="0"/>
    <n v="1"/>
    <n v="30000"/>
    <n v="0.15"/>
    <n v="25500"/>
    <x v="2"/>
  </r>
  <r>
    <n v="1973"/>
    <x v="5"/>
    <s v="Arjun"/>
    <x v="7"/>
    <x v="6"/>
    <x v="0"/>
    <n v="5"/>
    <n v="12000"/>
    <n v="0.05"/>
    <n v="57000"/>
    <x v="3"/>
  </r>
  <r>
    <n v="1539"/>
    <x v="184"/>
    <s v="Sneha"/>
    <x v="4"/>
    <x v="3"/>
    <x v="0"/>
    <n v="3"/>
    <n v="30000"/>
    <n v="0"/>
    <n v="90000"/>
    <x v="0"/>
  </r>
  <r>
    <n v="1540"/>
    <x v="226"/>
    <s v="Ravi"/>
    <x v="5"/>
    <x v="3"/>
    <x v="0"/>
    <n v="1"/>
    <n v="30000"/>
    <n v="0.1"/>
    <n v="27000"/>
    <x v="6"/>
  </r>
  <r>
    <n v="1541"/>
    <x v="6"/>
    <s v="Pooja"/>
    <x v="1"/>
    <x v="5"/>
    <x v="2"/>
    <n v="2"/>
    <n v="3000"/>
    <n v="0"/>
    <n v="6000"/>
    <x v="4"/>
  </r>
  <r>
    <n v="1542"/>
    <x v="253"/>
    <s v="Kavya"/>
    <x v="0"/>
    <x v="1"/>
    <x v="0"/>
    <n v="1"/>
    <n v="50000"/>
    <n v="0.15"/>
    <n v="42500"/>
    <x v="6"/>
  </r>
  <r>
    <n v="1543"/>
    <x v="6"/>
    <s v="Arjun"/>
    <x v="1"/>
    <x v="2"/>
    <x v="1"/>
    <n v="4"/>
    <n v="1500"/>
    <n v="0.15"/>
    <n v="5100"/>
    <x v="4"/>
  </r>
  <r>
    <n v="1225"/>
    <x v="7"/>
    <s v="Rahul"/>
    <x v="0"/>
    <x v="6"/>
    <x v="0"/>
    <n v="5"/>
    <n v="12000"/>
    <n v="0.1"/>
    <n v="54000"/>
    <x v="5"/>
  </r>
  <r>
    <n v="1545"/>
    <x v="179"/>
    <s v="Pooja"/>
    <x v="1"/>
    <x v="1"/>
    <x v="0"/>
    <n v="3"/>
    <n v="50000"/>
    <n v="0"/>
    <n v="150000"/>
    <x v="4"/>
  </r>
  <r>
    <n v="1546"/>
    <x v="256"/>
    <s v="Rohit"/>
    <x v="1"/>
    <x v="0"/>
    <x v="0"/>
    <n v="3"/>
    <n v="20000"/>
    <n v="0.05"/>
    <n v="57000"/>
    <x v="3"/>
  </r>
  <r>
    <n v="1547"/>
    <x v="108"/>
    <s v="Ravi"/>
    <x v="6"/>
    <x v="0"/>
    <x v="0"/>
    <n v="3"/>
    <n v="20000"/>
    <n v="0.15"/>
    <n v="51000"/>
    <x v="7"/>
  </r>
  <r>
    <n v="1243"/>
    <x v="188"/>
    <s v="Sanjay"/>
    <x v="2"/>
    <x v="6"/>
    <x v="0"/>
    <n v="5"/>
    <n v="12000"/>
    <n v="0.1"/>
    <n v="54000"/>
    <x v="6"/>
  </r>
  <r>
    <n v="1549"/>
    <x v="121"/>
    <s v="Pooja"/>
    <x v="5"/>
    <x v="4"/>
    <x v="1"/>
    <n v="2"/>
    <n v="2000"/>
    <n v="0.05"/>
    <n v="3800"/>
    <x v="3"/>
  </r>
  <r>
    <n v="1550"/>
    <x v="37"/>
    <s v="Arjun"/>
    <x v="7"/>
    <x v="7"/>
    <x v="2"/>
    <n v="2"/>
    <n v="7000"/>
    <n v="0"/>
    <n v="14000"/>
    <x v="8"/>
  </r>
  <r>
    <n v="1551"/>
    <x v="231"/>
    <s v="Kavya"/>
    <x v="1"/>
    <x v="3"/>
    <x v="0"/>
    <n v="1"/>
    <n v="30000"/>
    <n v="0.1"/>
    <n v="27000"/>
    <x v="8"/>
  </r>
  <r>
    <n v="1286"/>
    <x v="154"/>
    <s v="Rohit"/>
    <x v="0"/>
    <x v="6"/>
    <x v="0"/>
    <n v="5"/>
    <n v="12000"/>
    <n v="0.1"/>
    <n v="54000"/>
    <x v="9"/>
  </r>
  <r>
    <n v="1553"/>
    <x v="283"/>
    <s v="Simran"/>
    <x v="1"/>
    <x v="5"/>
    <x v="2"/>
    <n v="2"/>
    <n v="3000"/>
    <n v="0.1"/>
    <n v="5400"/>
    <x v="10"/>
  </r>
  <r>
    <n v="1554"/>
    <x v="43"/>
    <s v="Pooja"/>
    <x v="1"/>
    <x v="7"/>
    <x v="2"/>
    <n v="4"/>
    <n v="7000"/>
    <n v="0.15"/>
    <n v="23800"/>
    <x v="11"/>
  </r>
  <r>
    <n v="1555"/>
    <x v="232"/>
    <s v="Sneha"/>
    <x v="0"/>
    <x v="2"/>
    <x v="1"/>
    <n v="2"/>
    <n v="1500"/>
    <n v="0.1"/>
    <n v="2700"/>
    <x v="3"/>
  </r>
  <r>
    <n v="1556"/>
    <x v="27"/>
    <s v="Manish"/>
    <x v="5"/>
    <x v="6"/>
    <x v="0"/>
    <n v="1"/>
    <n v="12000"/>
    <n v="0.1"/>
    <n v="10800"/>
    <x v="6"/>
  </r>
  <r>
    <n v="1557"/>
    <x v="284"/>
    <s v="Priya"/>
    <x v="1"/>
    <x v="5"/>
    <x v="2"/>
    <n v="3"/>
    <n v="3000"/>
    <n v="0"/>
    <n v="9000"/>
    <x v="9"/>
  </r>
  <r>
    <n v="1488"/>
    <x v="29"/>
    <s v="Simran"/>
    <x v="0"/>
    <x v="6"/>
    <x v="0"/>
    <n v="5"/>
    <n v="12000"/>
    <n v="0.1"/>
    <n v="54000"/>
    <x v="8"/>
  </r>
  <r>
    <n v="1579"/>
    <x v="38"/>
    <s v="Rohit"/>
    <x v="5"/>
    <x v="6"/>
    <x v="0"/>
    <n v="5"/>
    <n v="12000"/>
    <n v="0.1"/>
    <n v="54000"/>
    <x v="4"/>
  </r>
  <r>
    <n v="1560"/>
    <x v="277"/>
    <s v="Aman"/>
    <x v="0"/>
    <x v="6"/>
    <x v="0"/>
    <n v="3"/>
    <n v="12000"/>
    <n v="0"/>
    <n v="36000"/>
    <x v="3"/>
  </r>
  <r>
    <n v="1561"/>
    <x v="34"/>
    <s v="Anjali"/>
    <x v="2"/>
    <x v="0"/>
    <x v="0"/>
    <n v="4"/>
    <n v="20000"/>
    <n v="0.05"/>
    <n v="76000"/>
    <x v="9"/>
  </r>
  <r>
    <n v="1562"/>
    <x v="197"/>
    <s v="Kavya"/>
    <x v="2"/>
    <x v="3"/>
    <x v="0"/>
    <n v="1"/>
    <n v="30000"/>
    <n v="0.15"/>
    <n v="25500"/>
    <x v="10"/>
  </r>
  <r>
    <n v="1898"/>
    <x v="285"/>
    <s v="Neha"/>
    <x v="5"/>
    <x v="6"/>
    <x v="0"/>
    <n v="5"/>
    <n v="12000"/>
    <n v="0.1"/>
    <n v="54000"/>
    <x v="8"/>
  </r>
  <r>
    <n v="1931"/>
    <x v="26"/>
    <s v="Rahul"/>
    <x v="2"/>
    <x v="6"/>
    <x v="0"/>
    <n v="5"/>
    <n v="12000"/>
    <n v="0.1"/>
    <n v="54000"/>
    <x v="4"/>
  </r>
  <r>
    <n v="1565"/>
    <x v="286"/>
    <s v="Kavya"/>
    <x v="0"/>
    <x v="6"/>
    <x v="0"/>
    <n v="1"/>
    <n v="12000"/>
    <n v="0.15"/>
    <n v="10200"/>
    <x v="10"/>
  </r>
  <r>
    <n v="1028"/>
    <x v="91"/>
    <s v="Sanjay"/>
    <x v="2"/>
    <x v="6"/>
    <x v="0"/>
    <n v="5"/>
    <n v="12000"/>
    <n v="0.15"/>
    <n v="51000"/>
    <x v="9"/>
  </r>
  <r>
    <n v="1567"/>
    <x v="114"/>
    <s v="Simran"/>
    <x v="7"/>
    <x v="4"/>
    <x v="1"/>
    <n v="4"/>
    <n v="2000"/>
    <n v="0.1"/>
    <n v="7200"/>
    <x v="3"/>
  </r>
  <r>
    <n v="1568"/>
    <x v="109"/>
    <s v="Karan"/>
    <x v="6"/>
    <x v="1"/>
    <x v="0"/>
    <n v="2"/>
    <n v="50000"/>
    <n v="0.1"/>
    <n v="90000"/>
    <x v="3"/>
  </r>
  <r>
    <n v="1569"/>
    <x v="144"/>
    <s v="Sanjay"/>
    <x v="3"/>
    <x v="1"/>
    <x v="0"/>
    <n v="4"/>
    <n v="50000"/>
    <n v="0.1"/>
    <n v="180000"/>
    <x v="7"/>
  </r>
  <r>
    <n v="1570"/>
    <x v="172"/>
    <s v="Rahul"/>
    <x v="5"/>
    <x v="6"/>
    <x v="0"/>
    <n v="3"/>
    <n v="12000"/>
    <n v="0.1"/>
    <n v="32400"/>
    <x v="8"/>
  </r>
  <r>
    <n v="1571"/>
    <x v="270"/>
    <s v="Priya"/>
    <x v="2"/>
    <x v="7"/>
    <x v="2"/>
    <n v="3"/>
    <n v="7000"/>
    <n v="0.15"/>
    <n v="17850"/>
    <x v="7"/>
  </r>
  <r>
    <n v="1572"/>
    <x v="287"/>
    <s v="Pooja"/>
    <x v="6"/>
    <x v="3"/>
    <x v="0"/>
    <n v="3"/>
    <n v="30000"/>
    <n v="0.15"/>
    <n v="76500"/>
    <x v="4"/>
  </r>
  <r>
    <n v="1573"/>
    <x v="288"/>
    <s v="Kavya"/>
    <x v="7"/>
    <x v="0"/>
    <x v="0"/>
    <n v="2"/>
    <n v="20000"/>
    <n v="0.15"/>
    <n v="34000"/>
    <x v="1"/>
  </r>
  <r>
    <n v="1574"/>
    <x v="153"/>
    <s v="Vikas"/>
    <x v="6"/>
    <x v="4"/>
    <x v="1"/>
    <n v="1"/>
    <n v="2000"/>
    <n v="0.05"/>
    <n v="1900"/>
    <x v="10"/>
  </r>
  <r>
    <n v="1055"/>
    <x v="50"/>
    <s v="Ravi"/>
    <x v="1"/>
    <x v="6"/>
    <x v="0"/>
    <n v="5"/>
    <n v="12000"/>
    <n v="0.15"/>
    <n v="51000"/>
    <x v="2"/>
  </r>
  <r>
    <n v="1576"/>
    <x v="117"/>
    <s v="Aman"/>
    <x v="4"/>
    <x v="1"/>
    <x v="0"/>
    <n v="2"/>
    <n v="50000"/>
    <n v="0"/>
    <n v="100000"/>
    <x v="6"/>
  </r>
  <r>
    <n v="1577"/>
    <x v="234"/>
    <s v="Arjun"/>
    <x v="1"/>
    <x v="5"/>
    <x v="2"/>
    <n v="3"/>
    <n v="3000"/>
    <n v="0.1"/>
    <n v="8100"/>
    <x v="6"/>
  </r>
  <r>
    <n v="1578"/>
    <x v="43"/>
    <s v="Manish"/>
    <x v="0"/>
    <x v="1"/>
    <x v="0"/>
    <n v="2"/>
    <n v="50000"/>
    <n v="0.1"/>
    <n v="90000"/>
    <x v="11"/>
  </r>
  <r>
    <n v="1080"/>
    <x v="289"/>
    <s v="Manish"/>
    <x v="0"/>
    <x v="6"/>
    <x v="0"/>
    <n v="5"/>
    <n v="12000"/>
    <n v="0.15"/>
    <n v="51000"/>
    <x v="2"/>
  </r>
  <r>
    <n v="1580"/>
    <x v="119"/>
    <s v="Aman"/>
    <x v="0"/>
    <x v="0"/>
    <x v="0"/>
    <n v="3"/>
    <n v="20000"/>
    <n v="0"/>
    <n v="60000"/>
    <x v="3"/>
  </r>
  <r>
    <n v="1581"/>
    <x v="137"/>
    <s v="Anjali"/>
    <x v="5"/>
    <x v="5"/>
    <x v="2"/>
    <n v="2"/>
    <n v="3000"/>
    <n v="0.05"/>
    <n v="5700"/>
    <x v="7"/>
  </r>
  <r>
    <n v="1304"/>
    <x v="177"/>
    <s v="Ravi"/>
    <x v="1"/>
    <x v="6"/>
    <x v="0"/>
    <n v="5"/>
    <n v="12000"/>
    <n v="0.15"/>
    <n v="51000"/>
    <x v="0"/>
  </r>
  <r>
    <n v="1583"/>
    <x v="57"/>
    <s v="Pooja"/>
    <x v="5"/>
    <x v="3"/>
    <x v="0"/>
    <n v="2"/>
    <n v="30000"/>
    <n v="0"/>
    <n v="60000"/>
    <x v="1"/>
  </r>
  <r>
    <n v="1584"/>
    <x v="243"/>
    <s v="Manish"/>
    <x v="5"/>
    <x v="7"/>
    <x v="2"/>
    <n v="4"/>
    <n v="7000"/>
    <n v="0.15"/>
    <n v="23800"/>
    <x v="4"/>
  </r>
  <r>
    <n v="1585"/>
    <x v="137"/>
    <s v="Arjun"/>
    <x v="1"/>
    <x v="5"/>
    <x v="2"/>
    <n v="4"/>
    <n v="3000"/>
    <n v="0.1"/>
    <n v="10800"/>
    <x v="7"/>
  </r>
  <r>
    <n v="1418"/>
    <x v="222"/>
    <s v="Kavya"/>
    <x v="3"/>
    <x v="6"/>
    <x v="0"/>
    <n v="5"/>
    <n v="12000"/>
    <n v="0.15"/>
    <n v="51000"/>
    <x v="11"/>
  </r>
  <r>
    <n v="1587"/>
    <x v="290"/>
    <s v="Pooja"/>
    <x v="4"/>
    <x v="0"/>
    <x v="0"/>
    <n v="4"/>
    <n v="20000"/>
    <n v="0"/>
    <n v="80000"/>
    <x v="4"/>
  </r>
  <r>
    <n v="1588"/>
    <x v="291"/>
    <s v="Karan"/>
    <x v="2"/>
    <x v="7"/>
    <x v="2"/>
    <n v="3"/>
    <n v="7000"/>
    <n v="0.1"/>
    <n v="18900"/>
    <x v="1"/>
  </r>
  <r>
    <n v="1654"/>
    <x v="292"/>
    <s v="Vikas"/>
    <x v="6"/>
    <x v="6"/>
    <x v="0"/>
    <n v="5"/>
    <n v="12000"/>
    <n v="0.15"/>
    <n v="51000"/>
    <x v="7"/>
  </r>
  <r>
    <n v="1590"/>
    <x v="88"/>
    <s v="Kavya"/>
    <x v="6"/>
    <x v="1"/>
    <x v="0"/>
    <n v="4"/>
    <n v="50000"/>
    <n v="0.1"/>
    <n v="180000"/>
    <x v="0"/>
  </r>
  <r>
    <n v="1591"/>
    <x v="293"/>
    <s v="Sanjay"/>
    <x v="7"/>
    <x v="2"/>
    <x v="1"/>
    <n v="1"/>
    <n v="1500"/>
    <n v="0.05"/>
    <n v="1425"/>
    <x v="4"/>
  </r>
  <r>
    <n v="1793"/>
    <x v="79"/>
    <s v="Simran"/>
    <x v="2"/>
    <x v="6"/>
    <x v="0"/>
    <n v="5"/>
    <n v="12000"/>
    <n v="0.15"/>
    <n v="51000"/>
    <x v="0"/>
  </r>
  <r>
    <n v="1593"/>
    <x v="88"/>
    <s v="Rohit"/>
    <x v="4"/>
    <x v="0"/>
    <x v="0"/>
    <n v="4"/>
    <n v="20000"/>
    <n v="0.05"/>
    <n v="76000"/>
    <x v="0"/>
  </r>
  <r>
    <n v="1594"/>
    <x v="57"/>
    <s v="Vikas"/>
    <x v="6"/>
    <x v="0"/>
    <x v="0"/>
    <n v="2"/>
    <n v="20000"/>
    <n v="0.1"/>
    <n v="36000"/>
    <x v="1"/>
  </r>
  <r>
    <n v="1595"/>
    <x v="294"/>
    <s v="Vikas"/>
    <x v="7"/>
    <x v="4"/>
    <x v="1"/>
    <n v="3"/>
    <n v="2000"/>
    <n v="0.1"/>
    <n v="5400"/>
    <x v="2"/>
  </r>
  <r>
    <n v="1596"/>
    <x v="247"/>
    <s v="Neha"/>
    <x v="7"/>
    <x v="0"/>
    <x v="0"/>
    <n v="4"/>
    <n v="20000"/>
    <n v="0"/>
    <n v="80000"/>
    <x v="5"/>
  </r>
  <r>
    <n v="1962"/>
    <x v="93"/>
    <s v="Rahul"/>
    <x v="6"/>
    <x v="6"/>
    <x v="0"/>
    <n v="5"/>
    <n v="12000"/>
    <n v="0.15"/>
    <n v="51000"/>
    <x v="2"/>
  </r>
  <r>
    <n v="1598"/>
    <x v="167"/>
    <s v="Anjali"/>
    <x v="4"/>
    <x v="2"/>
    <x v="1"/>
    <n v="1"/>
    <n v="1500"/>
    <n v="0.05"/>
    <n v="1425"/>
    <x v="9"/>
  </r>
  <r>
    <n v="1020"/>
    <x v="295"/>
    <s v="Priya"/>
    <x v="5"/>
    <x v="7"/>
    <x v="2"/>
    <n v="5"/>
    <n v="7000"/>
    <n v="0"/>
    <n v="35000"/>
    <x v="7"/>
  </r>
  <r>
    <n v="1600"/>
    <x v="211"/>
    <s v="Rohit"/>
    <x v="4"/>
    <x v="0"/>
    <x v="0"/>
    <n v="4"/>
    <n v="20000"/>
    <n v="0.1"/>
    <n v="72000"/>
    <x v="5"/>
  </r>
  <r>
    <n v="1601"/>
    <x v="132"/>
    <s v="Anjali"/>
    <x v="0"/>
    <x v="1"/>
    <x v="0"/>
    <n v="1"/>
    <n v="50000"/>
    <n v="0.15"/>
    <n v="42500"/>
    <x v="0"/>
  </r>
  <r>
    <n v="1602"/>
    <x v="49"/>
    <s v="Kavya"/>
    <x v="6"/>
    <x v="3"/>
    <x v="0"/>
    <n v="4"/>
    <n v="30000"/>
    <n v="0"/>
    <n v="120000"/>
    <x v="9"/>
  </r>
  <r>
    <n v="1603"/>
    <x v="114"/>
    <s v="Ravi"/>
    <x v="3"/>
    <x v="2"/>
    <x v="1"/>
    <n v="4"/>
    <n v="1500"/>
    <n v="0.15"/>
    <n v="5100"/>
    <x v="3"/>
  </r>
  <r>
    <n v="1604"/>
    <x v="287"/>
    <s v="Anjali"/>
    <x v="3"/>
    <x v="5"/>
    <x v="2"/>
    <n v="3"/>
    <n v="3000"/>
    <n v="0"/>
    <n v="9000"/>
    <x v="4"/>
  </r>
  <r>
    <n v="1605"/>
    <x v="75"/>
    <s v="Sneha"/>
    <x v="5"/>
    <x v="1"/>
    <x v="0"/>
    <n v="2"/>
    <n v="50000"/>
    <n v="0.05"/>
    <n v="95000"/>
    <x v="7"/>
  </r>
  <r>
    <n v="1606"/>
    <x v="187"/>
    <s v="Vikas"/>
    <x v="0"/>
    <x v="3"/>
    <x v="0"/>
    <n v="1"/>
    <n v="30000"/>
    <n v="0.15"/>
    <n v="25500"/>
    <x v="11"/>
  </r>
  <r>
    <n v="1607"/>
    <x v="8"/>
    <s v="Manish"/>
    <x v="4"/>
    <x v="0"/>
    <x v="0"/>
    <n v="1"/>
    <n v="20000"/>
    <n v="0.1"/>
    <n v="18000"/>
    <x v="0"/>
  </r>
  <r>
    <n v="1608"/>
    <x v="43"/>
    <s v="Sneha"/>
    <x v="2"/>
    <x v="2"/>
    <x v="1"/>
    <n v="2"/>
    <n v="1500"/>
    <n v="0.1"/>
    <n v="2700"/>
    <x v="11"/>
  </r>
  <r>
    <n v="1609"/>
    <x v="123"/>
    <s v="Sanjay"/>
    <x v="0"/>
    <x v="3"/>
    <x v="0"/>
    <n v="4"/>
    <n v="30000"/>
    <n v="0"/>
    <n v="120000"/>
    <x v="1"/>
  </r>
  <r>
    <n v="1610"/>
    <x v="296"/>
    <s v="Sneha"/>
    <x v="3"/>
    <x v="5"/>
    <x v="2"/>
    <n v="1"/>
    <n v="3000"/>
    <n v="0.05"/>
    <n v="2850"/>
    <x v="9"/>
  </r>
  <r>
    <n v="1611"/>
    <x v="297"/>
    <s v="Aman"/>
    <x v="1"/>
    <x v="2"/>
    <x v="1"/>
    <n v="3"/>
    <n v="1500"/>
    <n v="0"/>
    <n v="4500"/>
    <x v="2"/>
  </r>
  <r>
    <n v="1612"/>
    <x v="275"/>
    <s v="Manish"/>
    <x v="6"/>
    <x v="1"/>
    <x v="0"/>
    <n v="1"/>
    <n v="50000"/>
    <n v="0"/>
    <n v="50000"/>
    <x v="6"/>
  </r>
  <r>
    <n v="1107"/>
    <x v="298"/>
    <s v="Anjali"/>
    <x v="1"/>
    <x v="7"/>
    <x v="2"/>
    <n v="5"/>
    <n v="7000"/>
    <n v="0"/>
    <n v="35000"/>
    <x v="11"/>
  </r>
  <r>
    <n v="1614"/>
    <x v="85"/>
    <s v="Priya"/>
    <x v="5"/>
    <x v="1"/>
    <x v="0"/>
    <n v="3"/>
    <n v="50000"/>
    <n v="0.15"/>
    <n v="127500"/>
    <x v="7"/>
  </r>
  <r>
    <n v="1615"/>
    <x v="67"/>
    <s v="Priya"/>
    <x v="5"/>
    <x v="3"/>
    <x v="0"/>
    <n v="4"/>
    <n v="30000"/>
    <n v="0"/>
    <n v="120000"/>
    <x v="11"/>
  </r>
  <r>
    <n v="1616"/>
    <x v="130"/>
    <s v="Anjali"/>
    <x v="5"/>
    <x v="0"/>
    <x v="0"/>
    <n v="1"/>
    <n v="20000"/>
    <n v="0.15"/>
    <n v="17000"/>
    <x v="1"/>
  </r>
  <r>
    <n v="1617"/>
    <x v="36"/>
    <s v="Rohit"/>
    <x v="3"/>
    <x v="5"/>
    <x v="2"/>
    <n v="3"/>
    <n v="3000"/>
    <n v="0.15"/>
    <n v="7650"/>
    <x v="0"/>
  </r>
  <r>
    <n v="1618"/>
    <x v="76"/>
    <s v="Sanjay"/>
    <x v="3"/>
    <x v="6"/>
    <x v="0"/>
    <n v="2"/>
    <n v="12000"/>
    <n v="0.15"/>
    <n v="20400"/>
    <x v="4"/>
  </r>
  <r>
    <n v="1619"/>
    <x v="93"/>
    <s v="Simran"/>
    <x v="0"/>
    <x v="1"/>
    <x v="0"/>
    <n v="1"/>
    <n v="50000"/>
    <n v="0"/>
    <n v="50000"/>
    <x v="2"/>
  </r>
  <r>
    <n v="1142"/>
    <x v="299"/>
    <s v="Kavya"/>
    <x v="1"/>
    <x v="7"/>
    <x v="2"/>
    <n v="5"/>
    <n v="7000"/>
    <n v="0"/>
    <n v="35000"/>
    <x v="2"/>
  </r>
  <r>
    <n v="1621"/>
    <x v="234"/>
    <s v="Aman"/>
    <x v="1"/>
    <x v="6"/>
    <x v="0"/>
    <n v="3"/>
    <n v="12000"/>
    <n v="0.1"/>
    <n v="32400"/>
    <x v="6"/>
  </r>
  <r>
    <n v="1622"/>
    <x v="237"/>
    <s v="Rahul"/>
    <x v="6"/>
    <x v="3"/>
    <x v="0"/>
    <n v="1"/>
    <n v="30000"/>
    <n v="0.1"/>
    <n v="27000"/>
    <x v="3"/>
  </r>
  <r>
    <n v="1623"/>
    <x v="300"/>
    <s v="Karan"/>
    <x v="0"/>
    <x v="0"/>
    <x v="0"/>
    <n v="1"/>
    <n v="20000"/>
    <n v="0"/>
    <n v="20000"/>
    <x v="8"/>
  </r>
  <r>
    <n v="1624"/>
    <x v="301"/>
    <s v="Pooja"/>
    <x v="1"/>
    <x v="4"/>
    <x v="1"/>
    <n v="3"/>
    <n v="2000"/>
    <n v="0.15"/>
    <n v="5100"/>
    <x v="5"/>
  </r>
  <r>
    <n v="1625"/>
    <x v="261"/>
    <s v="Arjun"/>
    <x v="6"/>
    <x v="4"/>
    <x v="1"/>
    <n v="3"/>
    <n v="2000"/>
    <n v="0.05"/>
    <n v="5700"/>
    <x v="10"/>
  </r>
  <r>
    <n v="1626"/>
    <x v="144"/>
    <s v="Simran"/>
    <x v="6"/>
    <x v="6"/>
    <x v="0"/>
    <n v="3"/>
    <n v="12000"/>
    <n v="0.15"/>
    <n v="30600"/>
    <x v="7"/>
  </r>
  <r>
    <n v="1627"/>
    <x v="270"/>
    <s v="Aman"/>
    <x v="0"/>
    <x v="3"/>
    <x v="0"/>
    <n v="1"/>
    <n v="30000"/>
    <n v="0.05"/>
    <n v="28500"/>
    <x v="7"/>
  </r>
  <r>
    <n v="1628"/>
    <x v="39"/>
    <s v="Manish"/>
    <x v="0"/>
    <x v="0"/>
    <x v="0"/>
    <n v="4"/>
    <n v="20000"/>
    <n v="0.15"/>
    <n v="68000"/>
    <x v="2"/>
  </r>
  <r>
    <n v="1629"/>
    <x v="245"/>
    <s v="Karan"/>
    <x v="7"/>
    <x v="2"/>
    <x v="1"/>
    <n v="3"/>
    <n v="1500"/>
    <n v="0"/>
    <n v="4500"/>
    <x v="7"/>
  </r>
  <r>
    <n v="1630"/>
    <x v="27"/>
    <s v="Aman"/>
    <x v="1"/>
    <x v="6"/>
    <x v="0"/>
    <n v="1"/>
    <n v="12000"/>
    <n v="0.15"/>
    <n v="10200"/>
    <x v="6"/>
  </r>
  <r>
    <n v="1631"/>
    <x v="108"/>
    <s v="Sanjay"/>
    <x v="4"/>
    <x v="7"/>
    <x v="2"/>
    <n v="3"/>
    <n v="7000"/>
    <n v="0"/>
    <n v="21000"/>
    <x v="7"/>
  </r>
  <r>
    <n v="1632"/>
    <x v="268"/>
    <s v="Sneha"/>
    <x v="6"/>
    <x v="0"/>
    <x v="0"/>
    <n v="4"/>
    <n v="20000"/>
    <n v="0.05"/>
    <n v="76000"/>
    <x v="11"/>
  </r>
  <r>
    <n v="1290"/>
    <x v="187"/>
    <s v="Rohit"/>
    <x v="0"/>
    <x v="7"/>
    <x v="2"/>
    <n v="5"/>
    <n v="7000"/>
    <n v="0"/>
    <n v="35000"/>
    <x v="11"/>
  </r>
  <r>
    <n v="1634"/>
    <x v="302"/>
    <s v="Rahul"/>
    <x v="2"/>
    <x v="6"/>
    <x v="0"/>
    <n v="2"/>
    <n v="12000"/>
    <n v="0"/>
    <n v="24000"/>
    <x v="11"/>
  </r>
  <r>
    <n v="1635"/>
    <x v="21"/>
    <s v="Sanjay"/>
    <x v="6"/>
    <x v="4"/>
    <x v="1"/>
    <n v="3"/>
    <n v="2000"/>
    <n v="0"/>
    <n v="6000"/>
    <x v="11"/>
  </r>
  <r>
    <n v="1636"/>
    <x v="303"/>
    <s v="Manish"/>
    <x v="7"/>
    <x v="2"/>
    <x v="1"/>
    <n v="2"/>
    <n v="1500"/>
    <n v="0"/>
    <n v="3000"/>
    <x v="6"/>
  </r>
  <r>
    <n v="1637"/>
    <x v="182"/>
    <s v="Priya"/>
    <x v="7"/>
    <x v="0"/>
    <x v="0"/>
    <n v="4"/>
    <n v="20000"/>
    <n v="0.15"/>
    <n v="68000"/>
    <x v="4"/>
  </r>
  <r>
    <n v="1638"/>
    <x v="54"/>
    <s v="Aman"/>
    <x v="3"/>
    <x v="1"/>
    <x v="0"/>
    <n v="1"/>
    <n v="50000"/>
    <n v="0.15"/>
    <n v="42500"/>
    <x v="3"/>
  </r>
  <r>
    <n v="1340"/>
    <x v="40"/>
    <s v="Sneha"/>
    <x v="2"/>
    <x v="7"/>
    <x v="2"/>
    <n v="5"/>
    <n v="7000"/>
    <n v="0"/>
    <n v="35000"/>
    <x v="0"/>
  </r>
  <r>
    <n v="1640"/>
    <x v="57"/>
    <s v="Manish"/>
    <x v="4"/>
    <x v="4"/>
    <x v="1"/>
    <n v="3"/>
    <n v="2000"/>
    <n v="0"/>
    <n v="6000"/>
    <x v="1"/>
  </r>
  <r>
    <n v="1641"/>
    <x v="261"/>
    <s v="Priya"/>
    <x v="2"/>
    <x v="6"/>
    <x v="0"/>
    <n v="3"/>
    <n v="12000"/>
    <n v="0.15"/>
    <n v="30600"/>
    <x v="10"/>
  </r>
  <r>
    <n v="1642"/>
    <x v="247"/>
    <s v="Vikas"/>
    <x v="4"/>
    <x v="1"/>
    <x v="0"/>
    <n v="3"/>
    <n v="50000"/>
    <n v="0.1"/>
    <n v="135000"/>
    <x v="5"/>
  </r>
  <r>
    <n v="1643"/>
    <x v="304"/>
    <s v="Karan"/>
    <x v="6"/>
    <x v="0"/>
    <x v="0"/>
    <n v="1"/>
    <n v="20000"/>
    <n v="0.05"/>
    <n v="19000"/>
    <x v="11"/>
  </r>
  <r>
    <n v="1644"/>
    <x v="291"/>
    <s v="Priya"/>
    <x v="6"/>
    <x v="0"/>
    <x v="0"/>
    <n v="3"/>
    <n v="20000"/>
    <n v="0.05"/>
    <n v="57000"/>
    <x v="1"/>
  </r>
  <r>
    <n v="1645"/>
    <x v="136"/>
    <s v="Priya"/>
    <x v="6"/>
    <x v="5"/>
    <x v="2"/>
    <n v="4"/>
    <n v="3000"/>
    <n v="0.05"/>
    <n v="11400"/>
    <x v="4"/>
  </r>
  <r>
    <n v="1882"/>
    <x v="144"/>
    <s v="Karan"/>
    <x v="7"/>
    <x v="7"/>
    <x v="2"/>
    <n v="5"/>
    <n v="7000"/>
    <n v="0"/>
    <n v="35000"/>
    <x v="7"/>
  </r>
  <r>
    <n v="1647"/>
    <x v="46"/>
    <s v="Kavya"/>
    <x v="7"/>
    <x v="6"/>
    <x v="0"/>
    <n v="1"/>
    <n v="12000"/>
    <n v="0"/>
    <n v="12000"/>
    <x v="2"/>
  </r>
  <r>
    <n v="1961"/>
    <x v="293"/>
    <s v="Ravi"/>
    <x v="7"/>
    <x v="7"/>
    <x v="2"/>
    <n v="5"/>
    <n v="7000"/>
    <n v="0"/>
    <n v="35000"/>
    <x v="4"/>
  </r>
  <r>
    <n v="1965"/>
    <x v="177"/>
    <s v="Simran"/>
    <x v="1"/>
    <x v="7"/>
    <x v="2"/>
    <n v="5"/>
    <n v="7000"/>
    <n v="0"/>
    <n v="35000"/>
    <x v="0"/>
  </r>
  <r>
    <n v="1650"/>
    <x v="305"/>
    <s v="Karan"/>
    <x v="0"/>
    <x v="2"/>
    <x v="1"/>
    <n v="3"/>
    <n v="1500"/>
    <n v="0.1"/>
    <n v="4050"/>
    <x v="6"/>
  </r>
  <r>
    <n v="1013"/>
    <x v="245"/>
    <s v="Rahul"/>
    <x v="3"/>
    <x v="7"/>
    <x v="2"/>
    <n v="5"/>
    <n v="7000"/>
    <n v="0.05"/>
    <n v="33250"/>
    <x v="7"/>
  </r>
  <r>
    <n v="1652"/>
    <x v="306"/>
    <s v="Sneha"/>
    <x v="0"/>
    <x v="5"/>
    <x v="2"/>
    <n v="2"/>
    <n v="3000"/>
    <n v="0.1"/>
    <n v="5400"/>
    <x v="7"/>
  </r>
  <r>
    <n v="1052"/>
    <x v="293"/>
    <s v="Anjali"/>
    <x v="5"/>
    <x v="7"/>
    <x v="2"/>
    <n v="5"/>
    <n v="7000"/>
    <n v="0.05"/>
    <n v="33250"/>
    <x v="4"/>
  </r>
  <r>
    <n v="1235"/>
    <x v="107"/>
    <s v="Neha"/>
    <x v="0"/>
    <x v="7"/>
    <x v="2"/>
    <n v="5"/>
    <n v="7000"/>
    <n v="0.05"/>
    <n v="33250"/>
    <x v="4"/>
  </r>
  <r>
    <n v="1315"/>
    <x v="307"/>
    <s v="Simran"/>
    <x v="0"/>
    <x v="7"/>
    <x v="2"/>
    <n v="5"/>
    <n v="7000"/>
    <n v="0.05"/>
    <n v="33250"/>
    <x v="8"/>
  </r>
  <r>
    <n v="1656"/>
    <x v="55"/>
    <s v="Rohit"/>
    <x v="5"/>
    <x v="1"/>
    <x v="0"/>
    <n v="1"/>
    <n v="50000"/>
    <n v="0.05"/>
    <n v="47500"/>
    <x v="0"/>
  </r>
  <r>
    <n v="1657"/>
    <x v="144"/>
    <s v="Vikas"/>
    <x v="2"/>
    <x v="7"/>
    <x v="2"/>
    <n v="2"/>
    <n v="7000"/>
    <n v="0"/>
    <n v="14000"/>
    <x v="7"/>
  </r>
  <r>
    <n v="1658"/>
    <x v="84"/>
    <s v="Sanjay"/>
    <x v="6"/>
    <x v="1"/>
    <x v="0"/>
    <n v="3"/>
    <n v="50000"/>
    <n v="0.15"/>
    <n v="127500"/>
    <x v="10"/>
  </r>
  <r>
    <n v="1788"/>
    <x v="308"/>
    <s v="Sneha"/>
    <x v="2"/>
    <x v="7"/>
    <x v="2"/>
    <n v="5"/>
    <n v="7000"/>
    <n v="0.05"/>
    <n v="33250"/>
    <x v="8"/>
  </r>
  <r>
    <n v="1660"/>
    <x v="299"/>
    <s v="Aman"/>
    <x v="3"/>
    <x v="2"/>
    <x v="1"/>
    <n v="4"/>
    <n v="1500"/>
    <n v="0.1"/>
    <n v="5400"/>
    <x v="2"/>
  </r>
  <r>
    <n v="1661"/>
    <x v="65"/>
    <s v="Sneha"/>
    <x v="2"/>
    <x v="7"/>
    <x v="2"/>
    <n v="2"/>
    <n v="7000"/>
    <n v="0.15"/>
    <n v="11900"/>
    <x v="1"/>
  </r>
  <r>
    <n v="1662"/>
    <x v="69"/>
    <s v="Neha"/>
    <x v="0"/>
    <x v="5"/>
    <x v="2"/>
    <n v="3"/>
    <n v="3000"/>
    <n v="0.15"/>
    <n v="7650"/>
    <x v="9"/>
  </r>
  <r>
    <n v="1114"/>
    <x v="120"/>
    <s v="Anjali"/>
    <x v="5"/>
    <x v="7"/>
    <x v="2"/>
    <n v="5"/>
    <n v="7000"/>
    <n v="0.1"/>
    <n v="31500"/>
    <x v="10"/>
  </r>
  <r>
    <n v="1144"/>
    <x v="135"/>
    <s v="Simran"/>
    <x v="7"/>
    <x v="7"/>
    <x v="2"/>
    <n v="5"/>
    <n v="7000"/>
    <n v="0.1"/>
    <n v="31500"/>
    <x v="3"/>
  </r>
  <r>
    <n v="1665"/>
    <x v="181"/>
    <s v="Karan"/>
    <x v="3"/>
    <x v="1"/>
    <x v="0"/>
    <n v="3"/>
    <n v="50000"/>
    <n v="0.15"/>
    <n v="127500"/>
    <x v="7"/>
  </r>
  <r>
    <n v="1666"/>
    <x v="100"/>
    <s v="Vikas"/>
    <x v="7"/>
    <x v="3"/>
    <x v="0"/>
    <n v="3"/>
    <n v="30000"/>
    <n v="0"/>
    <n v="90000"/>
    <x v="5"/>
  </r>
  <r>
    <n v="1667"/>
    <x v="309"/>
    <s v="Sanjay"/>
    <x v="0"/>
    <x v="4"/>
    <x v="1"/>
    <n v="1"/>
    <n v="2000"/>
    <n v="0.1"/>
    <n v="1800"/>
    <x v="11"/>
  </r>
  <r>
    <n v="1201"/>
    <x v="90"/>
    <s v="Priya"/>
    <x v="2"/>
    <x v="7"/>
    <x v="2"/>
    <n v="5"/>
    <n v="7000"/>
    <n v="0.1"/>
    <n v="31500"/>
    <x v="4"/>
  </r>
  <r>
    <n v="1669"/>
    <x v="45"/>
    <s v="Rahul"/>
    <x v="4"/>
    <x v="4"/>
    <x v="1"/>
    <n v="2"/>
    <n v="2000"/>
    <n v="0.05"/>
    <n v="3800"/>
    <x v="7"/>
  </r>
  <r>
    <n v="1670"/>
    <x v="262"/>
    <s v="Simran"/>
    <x v="3"/>
    <x v="4"/>
    <x v="1"/>
    <n v="3"/>
    <n v="2000"/>
    <n v="0.05"/>
    <n v="5700"/>
    <x v="5"/>
  </r>
  <r>
    <n v="1671"/>
    <x v="47"/>
    <s v="Sanjay"/>
    <x v="3"/>
    <x v="0"/>
    <x v="0"/>
    <n v="3"/>
    <n v="20000"/>
    <n v="0.15"/>
    <n v="51000"/>
    <x v="0"/>
  </r>
  <r>
    <n v="1672"/>
    <x v="119"/>
    <s v="Pooja"/>
    <x v="5"/>
    <x v="4"/>
    <x v="1"/>
    <n v="4"/>
    <n v="2000"/>
    <n v="0"/>
    <n v="8000"/>
    <x v="3"/>
  </r>
  <r>
    <n v="1664"/>
    <x v="49"/>
    <s v="Rohit"/>
    <x v="5"/>
    <x v="7"/>
    <x v="2"/>
    <n v="5"/>
    <n v="7000"/>
    <n v="0.1"/>
    <n v="31500"/>
    <x v="9"/>
  </r>
  <r>
    <n v="1674"/>
    <x v="287"/>
    <s v="Neha"/>
    <x v="1"/>
    <x v="1"/>
    <x v="0"/>
    <n v="3"/>
    <n v="50000"/>
    <n v="0.05"/>
    <n v="142500"/>
    <x v="4"/>
  </r>
  <r>
    <n v="1908"/>
    <x v="308"/>
    <s v="Priya"/>
    <x v="4"/>
    <x v="7"/>
    <x v="2"/>
    <n v="5"/>
    <n v="7000"/>
    <n v="0.1"/>
    <n v="31500"/>
    <x v="8"/>
  </r>
  <r>
    <n v="1676"/>
    <x v="16"/>
    <s v="Kavya"/>
    <x v="1"/>
    <x v="5"/>
    <x v="2"/>
    <n v="4"/>
    <n v="3000"/>
    <n v="0"/>
    <n v="12000"/>
    <x v="1"/>
  </r>
  <r>
    <n v="1677"/>
    <x v="76"/>
    <s v="Aman"/>
    <x v="1"/>
    <x v="3"/>
    <x v="0"/>
    <n v="1"/>
    <n v="30000"/>
    <n v="0.15"/>
    <n v="25500"/>
    <x v="4"/>
  </r>
  <r>
    <n v="1678"/>
    <x v="250"/>
    <s v="Neha"/>
    <x v="2"/>
    <x v="0"/>
    <x v="0"/>
    <n v="1"/>
    <n v="20000"/>
    <n v="0.05"/>
    <n v="19000"/>
    <x v="0"/>
  </r>
  <r>
    <n v="1679"/>
    <x v="12"/>
    <s v="Arjun"/>
    <x v="6"/>
    <x v="7"/>
    <x v="2"/>
    <n v="4"/>
    <n v="7000"/>
    <n v="0.15"/>
    <n v="23800"/>
    <x v="6"/>
  </r>
  <r>
    <n v="1680"/>
    <x v="310"/>
    <s v="Priya"/>
    <x v="3"/>
    <x v="4"/>
    <x v="1"/>
    <n v="1"/>
    <n v="2000"/>
    <n v="0.15"/>
    <n v="1700"/>
    <x v="7"/>
  </r>
  <r>
    <n v="1912"/>
    <x v="89"/>
    <s v="Ravi"/>
    <x v="2"/>
    <x v="7"/>
    <x v="2"/>
    <n v="5"/>
    <n v="7000"/>
    <n v="0.1"/>
    <n v="31500"/>
    <x v="2"/>
  </r>
  <r>
    <n v="1682"/>
    <x v="61"/>
    <s v="Neha"/>
    <x v="5"/>
    <x v="0"/>
    <x v="0"/>
    <n v="3"/>
    <n v="20000"/>
    <n v="0.1"/>
    <n v="54000"/>
    <x v="5"/>
  </r>
  <r>
    <n v="1683"/>
    <x v="85"/>
    <s v="Ravi"/>
    <x v="7"/>
    <x v="6"/>
    <x v="0"/>
    <n v="4"/>
    <n v="12000"/>
    <n v="0.15"/>
    <n v="40800"/>
    <x v="7"/>
  </r>
  <r>
    <n v="1131"/>
    <x v="253"/>
    <s v="Neha"/>
    <x v="3"/>
    <x v="7"/>
    <x v="2"/>
    <n v="5"/>
    <n v="7000"/>
    <n v="0.15"/>
    <n v="29750"/>
    <x v="6"/>
  </r>
  <r>
    <n v="1685"/>
    <x v="127"/>
    <s v="Karan"/>
    <x v="1"/>
    <x v="3"/>
    <x v="0"/>
    <n v="3"/>
    <n v="30000"/>
    <n v="0.1"/>
    <n v="81000"/>
    <x v="8"/>
  </r>
  <r>
    <n v="1686"/>
    <x v="311"/>
    <s v="Neha"/>
    <x v="5"/>
    <x v="1"/>
    <x v="0"/>
    <n v="1"/>
    <n v="50000"/>
    <n v="0.15"/>
    <n v="42500"/>
    <x v="2"/>
  </r>
  <r>
    <n v="1687"/>
    <x v="54"/>
    <s v="Karan"/>
    <x v="0"/>
    <x v="5"/>
    <x v="2"/>
    <n v="3"/>
    <n v="3000"/>
    <n v="0.05"/>
    <n v="8550"/>
    <x v="3"/>
  </r>
  <r>
    <n v="1688"/>
    <x v="312"/>
    <s v="Priya"/>
    <x v="0"/>
    <x v="3"/>
    <x v="0"/>
    <n v="2"/>
    <n v="30000"/>
    <n v="0.1"/>
    <n v="54000"/>
    <x v="1"/>
  </r>
  <r>
    <n v="1552"/>
    <x v="83"/>
    <s v="Priya"/>
    <x v="3"/>
    <x v="7"/>
    <x v="2"/>
    <n v="5"/>
    <n v="7000"/>
    <n v="0.15"/>
    <n v="29750"/>
    <x v="1"/>
  </r>
  <r>
    <n v="1690"/>
    <x v="130"/>
    <s v="Simran"/>
    <x v="4"/>
    <x v="0"/>
    <x v="0"/>
    <n v="3"/>
    <n v="20000"/>
    <n v="0"/>
    <n v="60000"/>
    <x v="1"/>
  </r>
  <r>
    <n v="1691"/>
    <x v="120"/>
    <s v="Vikas"/>
    <x v="1"/>
    <x v="4"/>
    <x v="1"/>
    <n v="2"/>
    <n v="2000"/>
    <n v="0.05"/>
    <n v="3800"/>
    <x v="10"/>
  </r>
  <r>
    <n v="1692"/>
    <x v="12"/>
    <s v="Rahul"/>
    <x v="5"/>
    <x v="5"/>
    <x v="2"/>
    <n v="3"/>
    <n v="3000"/>
    <n v="0.15"/>
    <n v="7650"/>
    <x v="6"/>
  </r>
  <r>
    <n v="1494"/>
    <x v="13"/>
    <s v="Neha"/>
    <x v="7"/>
    <x v="5"/>
    <x v="2"/>
    <n v="5"/>
    <n v="3000"/>
    <n v="0"/>
    <n v="15000"/>
    <x v="3"/>
  </r>
  <r>
    <n v="1694"/>
    <x v="56"/>
    <s v="Kavya"/>
    <x v="5"/>
    <x v="1"/>
    <x v="0"/>
    <n v="3"/>
    <n v="50000"/>
    <n v="0.05"/>
    <n v="142500"/>
    <x v="1"/>
  </r>
  <r>
    <n v="1695"/>
    <x v="204"/>
    <s v="Manish"/>
    <x v="7"/>
    <x v="4"/>
    <x v="1"/>
    <n v="2"/>
    <n v="2000"/>
    <n v="0.1"/>
    <n v="3600"/>
    <x v="11"/>
  </r>
  <r>
    <n v="1696"/>
    <x v="299"/>
    <s v="Priya"/>
    <x v="0"/>
    <x v="4"/>
    <x v="1"/>
    <n v="3"/>
    <n v="2000"/>
    <n v="0.15"/>
    <n v="5100"/>
    <x v="2"/>
  </r>
  <r>
    <n v="1697"/>
    <x v="311"/>
    <s v="Anjali"/>
    <x v="5"/>
    <x v="0"/>
    <x v="0"/>
    <n v="3"/>
    <n v="20000"/>
    <n v="0.05"/>
    <n v="57000"/>
    <x v="2"/>
  </r>
  <r>
    <n v="1698"/>
    <x v="21"/>
    <s v="Ravi"/>
    <x v="6"/>
    <x v="0"/>
    <x v="0"/>
    <n v="1"/>
    <n v="20000"/>
    <n v="0"/>
    <n v="20000"/>
    <x v="11"/>
  </r>
  <r>
    <n v="1699"/>
    <x v="195"/>
    <s v="Simran"/>
    <x v="0"/>
    <x v="5"/>
    <x v="2"/>
    <n v="1"/>
    <n v="3000"/>
    <n v="0.1"/>
    <n v="2700"/>
    <x v="2"/>
  </r>
  <r>
    <n v="1700"/>
    <x v="3"/>
    <s v="Vikas"/>
    <x v="0"/>
    <x v="4"/>
    <x v="1"/>
    <n v="4"/>
    <n v="2000"/>
    <n v="0.05"/>
    <n v="7600"/>
    <x v="2"/>
  </r>
  <r>
    <n v="1597"/>
    <x v="295"/>
    <s v="Arjun"/>
    <x v="5"/>
    <x v="5"/>
    <x v="2"/>
    <n v="5"/>
    <n v="3000"/>
    <n v="0"/>
    <n v="15000"/>
    <x v="7"/>
  </r>
  <r>
    <n v="1185"/>
    <x v="2"/>
    <s v="Rahul"/>
    <x v="0"/>
    <x v="5"/>
    <x v="2"/>
    <n v="5"/>
    <n v="3000"/>
    <n v="0.05"/>
    <n v="14250"/>
    <x v="1"/>
  </r>
  <r>
    <n v="1703"/>
    <x v="208"/>
    <s v="Sneha"/>
    <x v="3"/>
    <x v="3"/>
    <x v="0"/>
    <n v="2"/>
    <n v="30000"/>
    <n v="0.05"/>
    <n v="57000"/>
    <x v="11"/>
  </r>
  <r>
    <n v="1704"/>
    <x v="313"/>
    <s v="Pooja"/>
    <x v="4"/>
    <x v="5"/>
    <x v="2"/>
    <n v="4"/>
    <n v="3000"/>
    <n v="0.05"/>
    <n v="11400"/>
    <x v="10"/>
  </r>
  <r>
    <n v="1705"/>
    <x v="110"/>
    <s v="Sneha"/>
    <x v="6"/>
    <x v="5"/>
    <x v="2"/>
    <n v="1"/>
    <n v="3000"/>
    <n v="0.05"/>
    <n v="2850"/>
    <x v="11"/>
  </r>
  <r>
    <n v="1706"/>
    <x v="178"/>
    <s v="Rahul"/>
    <x v="1"/>
    <x v="6"/>
    <x v="0"/>
    <n v="4"/>
    <n v="12000"/>
    <n v="0"/>
    <n v="48000"/>
    <x v="8"/>
  </r>
  <r>
    <n v="1707"/>
    <x v="256"/>
    <s v="Arjun"/>
    <x v="4"/>
    <x v="7"/>
    <x v="2"/>
    <n v="3"/>
    <n v="7000"/>
    <n v="0.05"/>
    <n v="19950"/>
    <x v="3"/>
  </r>
  <r>
    <n v="1405"/>
    <x v="245"/>
    <s v="Arjun"/>
    <x v="0"/>
    <x v="5"/>
    <x v="2"/>
    <n v="5"/>
    <n v="3000"/>
    <n v="0.05"/>
    <n v="14250"/>
    <x v="7"/>
  </r>
  <r>
    <n v="1709"/>
    <x v="268"/>
    <s v="Ravi"/>
    <x v="0"/>
    <x v="4"/>
    <x v="1"/>
    <n v="3"/>
    <n v="2000"/>
    <n v="0.15"/>
    <n v="5100"/>
    <x v="11"/>
  </r>
  <r>
    <n v="1710"/>
    <x v="73"/>
    <s v="Pooja"/>
    <x v="2"/>
    <x v="6"/>
    <x v="0"/>
    <n v="2"/>
    <n v="12000"/>
    <n v="0.05"/>
    <n v="22800"/>
    <x v="10"/>
  </r>
  <r>
    <n v="1711"/>
    <x v="23"/>
    <s v="Priya"/>
    <x v="2"/>
    <x v="3"/>
    <x v="0"/>
    <n v="2"/>
    <n v="30000"/>
    <n v="0.05"/>
    <n v="57000"/>
    <x v="3"/>
  </r>
  <r>
    <n v="1712"/>
    <x v="268"/>
    <s v="Simran"/>
    <x v="7"/>
    <x v="2"/>
    <x v="1"/>
    <n v="3"/>
    <n v="1500"/>
    <n v="0"/>
    <n v="4500"/>
    <x v="11"/>
  </r>
  <r>
    <n v="1428"/>
    <x v="299"/>
    <s v="Rohit"/>
    <x v="4"/>
    <x v="5"/>
    <x v="2"/>
    <n v="5"/>
    <n v="3000"/>
    <n v="0.05"/>
    <n v="14250"/>
    <x v="2"/>
  </r>
  <r>
    <n v="1714"/>
    <x v="93"/>
    <s v="Rohit"/>
    <x v="0"/>
    <x v="5"/>
    <x v="2"/>
    <n v="1"/>
    <n v="3000"/>
    <n v="0.05"/>
    <n v="2850"/>
    <x v="2"/>
  </r>
  <r>
    <n v="1530"/>
    <x v="172"/>
    <s v="Simran"/>
    <x v="3"/>
    <x v="5"/>
    <x v="2"/>
    <n v="5"/>
    <n v="3000"/>
    <n v="0.05"/>
    <n v="14250"/>
    <x v="8"/>
  </r>
  <r>
    <n v="1702"/>
    <x v="59"/>
    <s v="Karan"/>
    <x v="7"/>
    <x v="5"/>
    <x v="2"/>
    <n v="5"/>
    <n v="3000"/>
    <n v="0.05"/>
    <n v="14250"/>
    <x v="11"/>
  </r>
  <r>
    <n v="1717"/>
    <x v="61"/>
    <s v="Simran"/>
    <x v="7"/>
    <x v="0"/>
    <x v="0"/>
    <n v="2"/>
    <n v="20000"/>
    <n v="0.15"/>
    <n v="34000"/>
    <x v="5"/>
  </r>
  <r>
    <n v="1718"/>
    <x v="314"/>
    <s v="Karan"/>
    <x v="0"/>
    <x v="3"/>
    <x v="0"/>
    <n v="2"/>
    <n v="30000"/>
    <n v="0.15"/>
    <n v="51000"/>
    <x v="5"/>
  </r>
  <r>
    <n v="1719"/>
    <x v="9"/>
    <s v="Neha"/>
    <x v="2"/>
    <x v="7"/>
    <x v="2"/>
    <n v="2"/>
    <n v="7000"/>
    <n v="0.1"/>
    <n v="12600"/>
    <x v="6"/>
  </r>
  <r>
    <n v="1720"/>
    <x v="159"/>
    <s v="Ravi"/>
    <x v="2"/>
    <x v="2"/>
    <x v="1"/>
    <n v="4"/>
    <n v="1500"/>
    <n v="0.05"/>
    <n v="5700"/>
    <x v="10"/>
  </r>
  <r>
    <n v="1721"/>
    <x v="69"/>
    <s v="Simran"/>
    <x v="3"/>
    <x v="2"/>
    <x v="1"/>
    <n v="2"/>
    <n v="1500"/>
    <n v="0"/>
    <n v="3000"/>
    <x v="9"/>
  </r>
  <r>
    <n v="1722"/>
    <x v="30"/>
    <s v="Karan"/>
    <x v="3"/>
    <x v="0"/>
    <x v="0"/>
    <n v="1"/>
    <n v="20000"/>
    <n v="0.15"/>
    <n v="17000"/>
    <x v="7"/>
  </r>
  <r>
    <n v="1713"/>
    <x v="240"/>
    <s v="Kavya"/>
    <x v="3"/>
    <x v="5"/>
    <x v="2"/>
    <n v="5"/>
    <n v="3000"/>
    <n v="0.05"/>
    <n v="14250"/>
    <x v="5"/>
  </r>
  <r>
    <n v="1724"/>
    <x v="6"/>
    <s v="Priya"/>
    <x v="6"/>
    <x v="5"/>
    <x v="2"/>
    <n v="4"/>
    <n v="3000"/>
    <n v="0.15"/>
    <n v="10200"/>
    <x v="4"/>
  </r>
  <r>
    <n v="1725"/>
    <x v="2"/>
    <s v="Neha"/>
    <x v="5"/>
    <x v="3"/>
    <x v="0"/>
    <n v="3"/>
    <n v="30000"/>
    <n v="0.15"/>
    <n v="76500"/>
    <x v="1"/>
  </r>
  <r>
    <n v="1726"/>
    <x v="315"/>
    <s v="Ravi"/>
    <x v="1"/>
    <x v="2"/>
    <x v="1"/>
    <n v="3"/>
    <n v="1500"/>
    <n v="0.05"/>
    <n v="4275"/>
    <x v="8"/>
  </r>
  <r>
    <n v="1727"/>
    <x v="98"/>
    <s v="Rahul"/>
    <x v="6"/>
    <x v="1"/>
    <x v="0"/>
    <n v="4"/>
    <n v="50000"/>
    <n v="0.05"/>
    <n v="190000"/>
    <x v="7"/>
  </r>
  <r>
    <n v="1728"/>
    <x v="316"/>
    <s v="Pooja"/>
    <x v="5"/>
    <x v="4"/>
    <x v="1"/>
    <n v="1"/>
    <n v="2000"/>
    <n v="0.05"/>
    <n v="1900"/>
    <x v="6"/>
  </r>
  <r>
    <n v="1756"/>
    <x v="31"/>
    <s v="Kavya"/>
    <x v="7"/>
    <x v="5"/>
    <x v="2"/>
    <n v="5"/>
    <n v="3000"/>
    <n v="0.05"/>
    <n v="14250"/>
    <x v="8"/>
  </r>
  <r>
    <n v="1730"/>
    <x v="244"/>
    <s v="Sneha"/>
    <x v="7"/>
    <x v="5"/>
    <x v="2"/>
    <n v="4"/>
    <n v="3000"/>
    <n v="0.15"/>
    <n v="10200"/>
    <x v="1"/>
  </r>
  <r>
    <n v="1731"/>
    <x v="99"/>
    <s v="Arjun"/>
    <x v="0"/>
    <x v="7"/>
    <x v="2"/>
    <n v="3"/>
    <n v="7000"/>
    <n v="0.1"/>
    <n v="18900"/>
    <x v="7"/>
  </r>
  <r>
    <n v="1732"/>
    <x v="229"/>
    <s v="Rohit"/>
    <x v="1"/>
    <x v="0"/>
    <x v="0"/>
    <n v="2"/>
    <n v="20000"/>
    <n v="0.15"/>
    <n v="34000"/>
    <x v="7"/>
  </r>
  <r>
    <n v="1812"/>
    <x v="195"/>
    <s v="Sneha"/>
    <x v="4"/>
    <x v="5"/>
    <x v="2"/>
    <n v="5"/>
    <n v="3000"/>
    <n v="0.05"/>
    <n v="14250"/>
    <x v="2"/>
  </r>
  <r>
    <n v="1734"/>
    <x v="239"/>
    <s v="Simran"/>
    <x v="6"/>
    <x v="2"/>
    <x v="1"/>
    <n v="1"/>
    <n v="1500"/>
    <n v="0"/>
    <n v="1500"/>
    <x v="9"/>
  </r>
  <r>
    <n v="1735"/>
    <x v="56"/>
    <s v="Sneha"/>
    <x v="1"/>
    <x v="0"/>
    <x v="0"/>
    <n v="1"/>
    <n v="20000"/>
    <n v="0.1"/>
    <n v="18000"/>
    <x v="1"/>
  </r>
  <r>
    <n v="1736"/>
    <x v="198"/>
    <s v="Vikas"/>
    <x v="3"/>
    <x v="1"/>
    <x v="0"/>
    <n v="4"/>
    <n v="50000"/>
    <n v="0.15"/>
    <n v="170000"/>
    <x v="5"/>
  </r>
  <r>
    <n v="1737"/>
    <x v="127"/>
    <s v="Anjali"/>
    <x v="5"/>
    <x v="3"/>
    <x v="0"/>
    <n v="4"/>
    <n v="30000"/>
    <n v="0.15"/>
    <n v="102000"/>
    <x v="8"/>
  </r>
  <r>
    <n v="1738"/>
    <x v="198"/>
    <s v="Rohit"/>
    <x v="3"/>
    <x v="5"/>
    <x v="2"/>
    <n v="1"/>
    <n v="3000"/>
    <n v="0.05"/>
    <n v="2850"/>
    <x v="5"/>
  </r>
  <r>
    <n v="1739"/>
    <x v="44"/>
    <s v="Neha"/>
    <x v="5"/>
    <x v="4"/>
    <x v="1"/>
    <n v="2"/>
    <n v="2000"/>
    <n v="0"/>
    <n v="4000"/>
    <x v="9"/>
  </r>
  <r>
    <n v="1740"/>
    <x v="174"/>
    <s v="Anjali"/>
    <x v="3"/>
    <x v="2"/>
    <x v="1"/>
    <n v="3"/>
    <n v="1500"/>
    <n v="0.15"/>
    <n v="3825"/>
    <x v="3"/>
  </r>
  <r>
    <n v="1741"/>
    <x v="230"/>
    <s v="Sneha"/>
    <x v="4"/>
    <x v="0"/>
    <x v="0"/>
    <n v="1"/>
    <n v="20000"/>
    <n v="0.1"/>
    <n v="18000"/>
    <x v="2"/>
  </r>
  <r>
    <n v="1742"/>
    <x v="9"/>
    <s v="Arjun"/>
    <x v="3"/>
    <x v="7"/>
    <x v="2"/>
    <n v="2"/>
    <n v="7000"/>
    <n v="0.05"/>
    <n v="13300"/>
    <x v="6"/>
  </r>
  <r>
    <n v="1743"/>
    <x v="21"/>
    <s v="Priya"/>
    <x v="1"/>
    <x v="7"/>
    <x v="2"/>
    <n v="2"/>
    <n v="7000"/>
    <n v="0.15"/>
    <n v="11900"/>
    <x v="11"/>
  </r>
  <r>
    <n v="1744"/>
    <x v="317"/>
    <s v="Pooja"/>
    <x v="5"/>
    <x v="7"/>
    <x v="2"/>
    <n v="3"/>
    <n v="7000"/>
    <n v="0"/>
    <n v="21000"/>
    <x v="11"/>
  </r>
  <r>
    <n v="1745"/>
    <x v="68"/>
    <s v="Rahul"/>
    <x v="7"/>
    <x v="6"/>
    <x v="0"/>
    <n v="4"/>
    <n v="12000"/>
    <n v="0.15"/>
    <n v="40800"/>
    <x v="0"/>
  </r>
  <r>
    <n v="1851"/>
    <x v="219"/>
    <s v="Ravi"/>
    <x v="4"/>
    <x v="5"/>
    <x v="2"/>
    <n v="5"/>
    <n v="3000"/>
    <n v="0.05"/>
    <n v="14250"/>
    <x v="0"/>
  </r>
  <r>
    <n v="1747"/>
    <x v="137"/>
    <s v="Sanjay"/>
    <x v="4"/>
    <x v="0"/>
    <x v="0"/>
    <n v="4"/>
    <n v="20000"/>
    <n v="0.05"/>
    <n v="76000"/>
    <x v="7"/>
  </r>
  <r>
    <n v="1748"/>
    <x v="229"/>
    <s v="Pooja"/>
    <x v="2"/>
    <x v="2"/>
    <x v="1"/>
    <n v="3"/>
    <n v="1500"/>
    <n v="0"/>
    <n v="4500"/>
    <x v="7"/>
  </r>
  <r>
    <n v="1749"/>
    <x v="310"/>
    <s v="Rahul"/>
    <x v="1"/>
    <x v="7"/>
    <x v="2"/>
    <n v="1"/>
    <n v="7000"/>
    <n v="0.15"/>
    <n v="5950"/>
    <x v="7"/>
  </r>
  <r>
    <n v="1750"/>
    <x v="53"/>
    <s v="Anjali"/>
    <x v="5"/>
    <x v="3"/>
    <x v="0"/>
    <n v="4"/>
    <n v="30000"/>
    <n v="0.1"/>
    <n v="108000"/>
    <x v="4"/>
  </r>
  <r>
    <n v="1751"/>
    <x v="83"/>
    <s v="Sanjay"/>
    <x v="2"/>
    <x v="3"/>
    <x v="0"/>
    <n v="2"/>
    <n v="30000"/>
    <n v="0.15"/>
    <n v="51000"/>
    <x v="1"/>
  </r>
  <r>
    <n v="1752"/>
    <x v="318"/>
    <s v="Sanjay"/>
    <x v="4"/>
    <x v="7"/>
    <x v="2"/>
    <n v="2"/>
    <n v="7000"/>
    <n v="0.05"/>
    <n v="13300"/>
    <x v="1"/>
  </r>
  <r>
    <n v="1753"/>
    <x v="197"/>
    <s v="Simran"/>
    <x v="3"/>
    <x v="3"/>
    <x v="0"/>
    <n v="1"/>
    <n v="30000"/>
    <n v="0"/>
    <n v="30000"/>
    <x v="10"/>
  </r>
  <r>
    <n v="1754"/>
    <x v="140"/>
    <s v="Rahul"/>
    <x v="7"/>
    <x v="1"/>
    <x v="0"/>
    <n v="4"/>
    <n v="50000"/>
    <n v="0.1"/>
    <n v="180000"/>
    <x v="5"/>
  </r>
  <r>
    <n v="1755"/>
    <x v="67"/>
    <s v="Pooja"/>
    <x v="6"/>
    <x v="7"/>
    <x v="2"/>
    <n v="4"/>
    <n v="7000"/>
    <n v="0.05"/>
    <n v="26600"/>
    <x v="11"/>
  </r>
  <r>
    <n v="1853"/>
    <x v="238"/>
    <s v="Pooja"/>
    <x v="7"/>
    <x v="5"/>
    <x v="2"/>
    <n v="5"/>
    <n v="3000"/>
    <n v="0.05"/>
    <n v="14250"/>
    <x v="1"/>
  </r>
  <r>
    <n v="1865"/>
    <x v="316"/>
    <s v="Vikas"/>
    <x v="4"/>
    <x v="5"/>
    <x v="2"/>
    <n v="5"/>
    <n v="3000"/>
    <n v="0.05"/>
    <n v="14250"/>
    <x v="6"/>
  </r>
  <r>
    <n v="1015"/>
    <x v="288"/>
    <s v="Simran"/>
    <x v="6"/>
    <x v="5"/>
    <x v="2"/>
    <n v="5"/>
    <n v="3000"/>
    <n v="0.1"/>
    <n v="13500"/>
    <x v="1"/>
  </r>
  <r>
    <n v="1759"/>
    <x v="266"/>
    <s v="Sneha"/>
    <x v="5"/>
    <x v="5"/>
    <x v="2"/>
    <n v="4"/>
    <n v="3000"/>
    <n v="0"/>
    <n v="12000"/>
    <x v="4"/>
  </r>
  <r>
    <n v="1048"/>
    <x v="41"/>
    <s v="Sneha"/>
    <x v="1"/>
    <x v="5"/>
    <x v="2"/>
    <n v="5"/>
    <n v="3000"/>
    <n v="0.1"/>
    <n v="13500"/>
    <x v="9"/>
  </r>
  <r>
    <n v="1761"/>
    <x v="200"/>
    <s v="Kavya"/>
    <x v="2"/>
    <x v="4"/>
    <x v="1"/>
    <n v="3"/>
    <n v="2000"/>
    <n v="0.05"/>
    <n v="5700"/>
    <x v="11"/>
  </r>
  <r>
    <n v="1762"/>
    <x v="13"/>
    <s v="Pooja"/>
    <x v="7"/>
    <x v="2"/>
    <x v="1"/>
    <n v="3"/>
    <n v="1500"/>
    <n v="0.1"/>
    <n v="4050"/>
    <x v="3"/>
  </r>
  <r>
    <n v="1167"/>
    <x v="165"/>
    <s v="Karan"/>
    <x v="1"/>
    <x v="5"/>
    <x v="2"/>
    <n v="5"/>
    <n v="3000"/>
    <n v="0.1"/>
    <n v="13500"/>
    <x v="7"/>
  </r>
  <r>
    <n v="1764"/>
    <x v="232"/>
    <s v="Anjali"/>
    <x v="0"/>
    <x v="7"/>
    <x v="2"/>
    <n v="2"/>
    <n v="7000"/>
    <n v="0.15"/>
    <n v="11900"/>
    <x v="3"/>
  </r>
  <r>
    <n v="1765"/>
    <x v="69"/>
    <s v="Kavya"/>
    <x v="7"/>
    <x v="3"/>
    <x v="0"/>
    <n v="4"/>
    <n v="30000"/>
    <n v="0"/>
    <n v="120000"/>
    <x v="9"/>
  </r>
  <r>
    <n v="1303"/>
    <x v="319"/>
    <s v="Aman"/>
    <x v="5"/>
    <x v="5"/>
    <x v="2"/>
    <n v="5"/>
    <n v="3000"/>
    <n v="0.1"/>
    <n v="13500"/>
    <x v="8"/>
  </r>
  <r>
    <n v="1767"/>
    <x v="144"/>
    <s v="Rohit"/>
    <x v="3"/>
    <x v="1"/>
    <x v="0"/>
    <n v="4"/>
    <n v="50000"/>
    <n v="0"/>
    <n v="200000"/>
    <x v="7"/>
  </r>
  <r>
    <n v="1768"/>
    <x v="320"/>
    <s v="Priya"/>
    <x v="7"/>
    <x v="5"/>
    <x v="2"/>
    <n v="3"/>
    <n v="3000"/>
    <n v="0.15"/>
    <n v="7650"/>
    <x v="5"/>
  </r>
  <r>
    <n v="1769"/>
    <x v="237"/>
    <s v="Pooja"/>
    <x v="4"/>
    <x v="4"/>
    <x v="1"/>
    <n v="3"/>
    <n v="2000"/>
    <n v="0.1"/>
    <n v="5400"/>
    <x v="3"/>
  </r>
  <r>
    <n v="1770"/>
    <x v="6"/>
    <s v="Anjali"/>
    <x v="0"/>
    <x v="1"/>
    <x v="0"/>
    <n v="4"/>
    <n v="50000"/>
    <n v="0"/>
    <n v="200000"/>
    <x v="4"/>
  </r>
  <r>
    <n v="1771"/>
    <x v="310"/>
    <s v="Simran"/>
    <x v="7"/>
    <x v="7"/>
    <x v="2"/>
    <n v="3"/>
    <n v="7000"/>
    <n v="0.1"/>
    <n v="18900"/>
    <x v="7"/>
  </r>
  <r>
    <n v="1772"/>
    <x v="234"/>
    <s v="Karan"/>
    <x v="0"/>
    <x v="0"/>
    <x v="0"/>
    <n v="4"/>
    <n v="20000"/>
    <n v="0.1"/>
    <n v="72000"/>
    <x v="6"/>
  </r>
  <r>
    <n v="1773"/>
    <x v="271"/>
    <s v="Neha"/>
    <x v="0"/>
    <x v="4"/>
    <x v="1"/>
    <n v="4"/>
    <n v="2000"/>
    <n v="0.15"/>
    <n v="6800"/>
    <x v="10"/>
  </r>
  <r>
    <n v="1774"/>
    <x v="321"/>
    <s v="Vikas"/>
    <x v="5"/>
    <x v="4"/>
    <x v="1"/>
    <n v="2"/>
    <n v="2000"/>
    <n v="0.1"/>
    <n v="3600"/>
    <x v="4"/>
  </r>
  <r>
    <n v="1775"/>
    <x v="23"/>
    <s v="Manish"/>
    <x v="6"/>
    <x v="2"/>
    <x v="1"/>
    <n v="3"/>
    <n v="1500"/>
    <n v="0.15"/>
    <n v="3825"/>
    <x v="3"/>
  </r>
  <r>
    <n v="1776"/>
    <x v="322"/>
    <s v="Sanjay"/>
    <x v="5"/>
    <x v="3"/>
    <x v="0"/>
    <n v="2"/>
    <n v="30000"/>
    <n v="0"/>
    <n v="60000"/>
    <x v="9"/>
  </r>
  <r>
    <n v="1777"/>
    <x v="223"/>
    <s v="Priya"/>
    <x v="1"/>
    <x v="0"/>
    <x v="0"/>
    <n v="2"/>
    <n v="20000"/>
    <n v="0.05"/>
    <n v="38000"/>
    <x v="3"/>
  </r>
  <r>
    <n v="1778"/>
    <x v="104"/>
    <s v="Arjun"/>
    <x v="1"/>
    <x v="0"/>
    <x v="0"/>
    <n v="4"/>
    <n v="20000"/>
    <n v="0"/>
    <n v="80000"/>
    <x v="8"/>
  </r>
  <r>
    <n v="1779"/>
    <x v="24"/>
    <s v="Arjun"/>
    <x v="5"/>
    <x v="0"/>
    <x v="0"/>
    <n v="3"/>
    <n v="20000"/>
    <n v="0.05"/>
    <n v="57000"/>
    <x v="10"/>
  </r>
  <r>
    <n v="1780"/>
    <x v="163"/>
    <s v="Karan"/>
    <x v="0"/>
    <x v="5"/>
    <x v="2"/>
    <n v="2"/>
    <n v="3000"/>
    <n v="0.1"/>
    <n v="5400"/>
    <x v="6"/>
  </r>
  <r>
    <n v="1781"/>
    <x v="45"/>
    <s v="Sneha"/>
    <x v="4"/>
    <x v="3"/>
    <x v="0"/>
    <n v="1"/>
    <n v="30000"/>
    <n v="0"/>
    <n v="30000"/>
    <x v="7"/>
  </r>
  <r>
    <n v="1782"/>
    <x v="289"/>
    <s v="Manish"/>
    <x v="0"/>
    <x v="6"/>
    <x v="0"/>
    <n v="4"/>
    <n v="12000"/>
    <n v="0.1"/>
    <n v="43200"/>
    <x v="2"/>
  </r>
  <r>
    <n v="1372"/>
    <x v="323"/>
    <s v="Arjun"/>
    <x v="7"/>
    <x v="5"/>
    <x v="2"/>
    <n v="5"/>
    <n v="3000"/>
    <n v="0.1"/>
    <n v="13500"/>
    <x v="0"/>
  </r>
  <r>
    <n v="1784"/>
    <x v="324"/>
    <s v="Manish"/>
    <x v="5"/>
    <x v="4"/>
    <x v="1"/>
    <n v="4"/>
    <n v="2000"/>
    <n v="0.05"/>
    <n v="7600"/>
    <x v="10"/>
  </r>
  <r>
    <n v="1785"/>
    <x v="325"/>
    <s v="Vikas"/>
    <x v="3"/>
    <x v="4"/>
    <x v="1"/>
    <n v="4"/>
    <n v="2000"/>
    <n v="0.1"/>
    <n v="7200"/>
    <x v="9"/>
  </r>
  <r>
    <n v="1527"/>
    <x v="326"/>
    <s v="Sneha"/>
    <x v="3"/>
    <x v="5"/>
    <x v="2"/>
    <n v="5"/>
    <n v="3000"/>
    <n v="0.1"/>
    <n v="13500"/>
    <x v="7"/>
  </r>
  <r>
    <n v="1787"/>
    <x v="327"/>
    <s v="Ravi"/>
    <x v="6"/>
    <x v="1"/>
    <x v="0"/>
    <n v="4"/>
    <n v="50000"/>
    <n v="0.15"/>
    <n v="170000"/>
    <x v="4"/>
  </r>
  <r>
    <n v="1659"/>
    <x v="328"/>
    <s v="Aman"/>
    <x v="6"/>
    <x v="5"/>
    <x v="2"/>
    <n v="5"/>
    <n v="3000"/>
    <n v="0.1"/>
    <n v="13500"/>
    <x v="7"/>
  </r>
  <r>
    <n v="1791"/>
    <x v="329"/>
    <s v="Pooja"/>
    <x v="6"/>
    <x v="5"/>
    <x v="2"/>
    <n v="5"/>
    <n v="3000"/>
    <n v="0.1"/>
    <n v="13500"/>
    <x v="0"/>
  </r>
  <r>
    <n v="1790"/>
    <x v="103"/>
    <s v="Neha"/>
    <x v="6"/>
    <x v="2"/>
    <x v="1"/>
    <n v="4"/>
    <n v="1500"/>
    <n v="0.05"/>
    <n v="5700"/>
    <x v="0"/>
  </r>
  <r>
    <n v="1860"/>
    <x v="107"/>
    <s v="Simran"/>
    <x v="6"/>
    <x v="5"/>
    <x v="2"/>
    <n v="5"/>
    <n v="3000"/>
    <n v="0.1"/>
    <n v="13500"/>
    <x v="4"/>
  </r>
  <r>
    <n v="1792"/>
    <x v="158"/>
    <s v="Vikas"/>
    <x v="1"/>
    <x v="5"/>
    <x v="2"/>
    <n v="1"/>
    <n v="3000"/>
    <n v="0.05"/>
    <n v="2850"/>
    <x v="9"/>
  </r>
  <r>
    <n v="1149"/>
    <x v="2"/>
    <s v="Kavya"/>
    <x v="3"/>
    <x v="5"/>
    <x v="2"/>
    <n v="5"/>
    <n v="3000"/>
    <n v="0.15"/>
    <n v="12750"/>
    <x v="1"/>
  </r>
  <r>
    <n v="1794"/>
    <x v="37"/>
    <s v="Ravi"/>
    <x v="0"/>
    <x v="4"/>
    <x v="1"/>
    <n v="1"/>
    <n v="2000"/>
    <n v="0.05"/>
    <n v="1900"/>
    <x v="8"/>
  </r>
  <r>
    <n v="1795"/>
    <x v="322"/>
    <s v="Manish"/>
    <x v="3"/>
    <x v="0"/>
    <x v="0"/>
    <n v="3"/>
    <n v="20000"/>
    <n v="0.1"/>
    <n v="54000"/>
    <x v="9"/>
  </r>
  <r>
    <n v="1796"/>
    <x v="149"/>
    <s v="Simran"/>
    <x v="2"/>
    <x v="5"/>
    <x v="2"/>
    <n v="1"/>
    <n v="3000"/>
    <n v="0.05"/>
    <n v="2850"/>
    <x v="8"/>
  </r>
  <r>
    <n v="1797"/>
    <x v="200"/>
    <s v="Sneha"/>
    <x v="7"/>
    <x v="4"/>
    <x v="1"/>
    <n v="4"/>
    <n v="2000"/>
    <n v="0.1"/>
    <n v="7200"/>
    <x v="11"/>
  </r>
  <r>
    <n v="1798"/>
    <x v="239"/>
    <s v="Aman"/>
    <x v="5"/>
    <x v="1"/>
    <x v="0"/>
    <n v="3"/>
    <n v="50000"/>
    <n v="0"/>
    <n v="150000"/>
    <x v="9"/>
  </r>
  <r>
    <n v="1799"/>
    <x v="279"/>
    <s v="Anjali"/>
    <x v="5"/>
    <x v="2"/>
    <x v="1"/>
    <n v="1"/>
    <n v="1500"/>
    <n v="0.15"/>
    <n v="1275"/>
    <x v="1"/>
  </r>
  <r>
    <n v="1800"/>
    <x v="32"/>
    <s v="Arjun"/>
    <x v="7"/>
    <x v="2"/>
    <x v="1"/>
    <n v="1"/>
    <n v="1500"/>
    <n v="0"/>
    <n v="1500"/>
    <x v="0"/>
  </r>
  <r>
    <n v="1801"/>
    <x v="303"/>
    <s v="Priya"/>
    <x v="2"/>
    <x v="5"/>
    <x v="2"/>
    <n v="1"/>
    <n v="3000"/>
    <n v="0.05"/>
    <n v="2850"/>
    <x v="6"/>
  </r>
  <r>
    <n v="1802"/>
    <x v="225"/>
    <s v="Rohit"/>
    <x v="3"/>
    <x v="6"/>
    <x v="0"/>
    <n v="4"/>
    <n v="12000"/>
    <n v="0.1"/>
    <n v="43200"/>
    <x v="4"/>
  </r>
  <r>
    <n v="1803"/>
    <x v="139"/>
    <s v="Vikas"/>
    <x v="2"/>
    <x v="0"/>
    <x v="0"/>
    <n v="3"/>
    <n v="20000"/>
    <n v="0.15"/>
    <n v="51000"/>
    <x v="5"/>
  </r>
  <r>
    <n v="1804"/>
    <x v="286"/>
    <s v="Sanjay"/>
    <x v="6"/>
    <x v="4"/>
    <x v="1"/>
    <n v="1"/>
    <n v="2000"/>
    <n v="0.05"/>
    <n v="1900"/>
    <x v="10"/>
  </r>
  <r>
    <n v="1805"/>
    <x v="145"/>
    <s v="Priya"/>
    <x v="6"/>
    <x v="4"/>
    <x v="1"/>
    <n v="1"/>
    <n v="2000"/>
    <n v="0.05"/>
    <n v="1900"/>
    <x v="0"/>
  </r>
  <r>
    <n v="1806"/>
    <x v="267"/>
    <s v="Simran"/>
    <x v="0"/>
    <x v="5"/>
    <x v="2"/>
    <n v="1"/>
    <n v="3000"/>
    <n v="0"/>
    <n v="3000"/>
    <x v="2"/>
  </r>
  <r>
    <n v="1807"/>
    <x v="44"/>
    <s v="Simran"/>
    <x v="1"/>
    <x v="4"/>
    <x v="1"/>
    <n v="1"/>
    <n v="2000"/>
    <n v="0.05"/>
    <n v="1900"/>
    <x v="9"/>
  </r>
  <r>
    <n v="1808"/>
    <x v="196"/>
    <s v="Karan"/>
    <x v="1"/>
    <x v="4"/>
    <x v="1"/>
    <n v="1"/>
    <n v="2000"/>
    <n v="0"/>
    <n v="2000"/>
    <x v="3"/>
  </r>
  <r>
    <n v="1809"/>
    <x v="321"/>
    <s v="Sneha"/>
    <x v="7"/>
    <x v="3"/>
    <x v="0"/>
    <n v="4"/>
    <n v="30000"/>
    <n v="0.05"/>
    <n v="114000"/>
    <x v="4"/>
  </r>
  <r>
    <n v="1810"/>
    <x v="330"/>
    <s v="Karan"/>
    <x v="5"/>
    <x v="5"/>
    <x v="2"/>
    <n v="1"/>
    <n v="3000"/>
    <n v="0.15"/>
    <n v="2550"/>
    <x v="3"/>
  </r>
  <r>
    <n v="1811"/>
    <x v="230"/>
    <s v="Vikas"/>
    <x v="7"/>
    <x v="1"/>
    <x v="0"/>
    <n v="4"/>
    <n v="50000"/>
    <n v="0.15"/>
    <n v="170000"/>
    <x v="2"/>
  </r>
  <r>
    <n v="1733"/>
    <x v="136"/>
    <s v="Aman"/>
    <x v="0"/>
    <x v="5"/>
    <x v="2"/>
    <n v="5"/>
    <n v="3000"/>
    <n v="0.15"/>
    <n v="12750"/>
    <x v="4"/>
  </r>
  <r>
    <n v="1813"/>
    <x v="58"/>
    <s v="Karan"/>
    <x v="7"/>
    <x v="6"/>
    <x v="0"/>
    <n v="3"/>
    <n v="12000"/>
    <n v="0.05"/>
    <n v="34200"/>
    <x v="10"/>
  </r>
  <r>
    <n v="1814"/>
    <x v="9"/>
    <s v="Ravi"/>
    <x v="6"/>
    <x v="7"/>
    <x v="2"/>
    <n v="3"/>
    <n v="7000"/>
    <n v="0.1"/>
    <n v="18900"/>
    <x v="6"/>
  </r>
  <r>
    <n v="1815"/>
    <x v="140"/>
    <s v="Sanjay"/>
    <x v="4"/>
    <x v="3"/>
    <x v="0"/>
    <n v="1"/>
    <n v="30000"/>
    <n v="0.1"/>
    <n v="27000"/>
    <x v="5"/>
  </r>
  <r>
    <n v="1825"/>
    <x v="264"/>
    <s v="Anjali"/>
    <x v="2"/>
    <x v="5"/>
    <x v="2"/>
    <n v="5"/>
    <n v="3000"/>
    <n v="0.15"/>
    <n v="12750"/>
    <x v="1"/>
  </r>
  <r>
    <n v="1817"/>
    <x v="146"/>
    <s v="Rahul"/>
    <x v="1"/>
    <x v="7"/>
    <x v="2"/>
    <n v="3"/>
    <n v="7000"/>
    <n v="0.15"/>
    <n v="17850"/>
    <x v="5"/>
  </r>
  <r>
    <n v="1893"/>
    <x v="9"/>
    <s v="Kavya"/>
    <x v="7"/>
    <x v="5"/>
    <x v="2"/>
    <n v="5"/>
    <n v="3000"/>
    <n v="0.15"/>
    <n v="12750"/>
    <x v="6"/>
  </r>
  <r>
    <n v="1819"/>
    <x v="331"/>
    <s v="Anjali"/>
    <x v="1"/>
    <x v="1"/>
    <x v="0"/>
    <n v="2"/>
    <n v="50000"/>
    <n v="0"/>
    <n v="100000"/>
    <x v="11"/>
  </r>
  <r>
    <n v="1987"/>
    <x v="244"/>
    <s v="Simran"/>
    <x v="1"/>
    <x v="5"/>
    <x v="2"/>
    <n v="5"/>
    <n v="3000"/>
    <n v="0.15"/>
    <n v="12750"/>
    <x v="1"/>
  </r>
  <r>
    <n v="1821"/>
    <x v="61"/>
    <s v="Neha"/>
    <x v="3"/>
    <x v="1"/>
    <x v="0"/>
    <n v="3"/>
    <n v="50000"/>
    <n v="0.05"/>
    <n v="142500"/>
    <x v="5"/>
  </r>
  <r>
    <n v="1822"/>
    <x v="203"/>
    <s v="Aman"/>
    <x v="4"/>
    <x v="5"/>
    <x v="2"/>
    <n v="4"/>
    <n v="3000"/>
    <n v="0"/>
    <n v="12000"/>
    <x v="6"/>
  </r>
  <r>
    <n v="1823"/>
    <x v="332"/>
    <s v="Pooja"/>
    <x v="3"/>
    <x v="2"/>
    <x v="1"/>
    <n v="3"/>
    <n v="1500"/>
    <n v="0"/>
    <n v="4500"/>
    <x v="5"/>
  </r>
  <r>
    <n v="1824"/>
    <x v="164"/>
    <s v="Priya"/>
    <x v="1"/>
    <x v="0"/>
    <x v="0"/>
    <n v="3"/>
    <n v="20000"/>
    <n v="0"/>
    <n v="60000"/>
    <x v="1"/>
  </r>
  <r>
    <n v="1190"/>
    <x v="305"/>
    <s v="Sanjay"/>
    <x v="3"/>
    <x v="4"/>
    <x v="1"/>
    <n v="5"/>
    <n v="2000"/>
    <n v="0"/>
    <n v="10000"/>
    <x v="6"/>
  </r>
  <r>
    <n v="1208"/>
    <x v="307"/>
    <s v="Karan"/>
    <x v="0"/>
    <x v="4"/>
    <x v="1"/>
    <n v="5"/>
    <n v="2000"/>
    <n v="0"/>
    <n v="10000"/>
    <x v="8"/>
  </r>
  <r>
    <n v="1827"/>
    <x v="279"/>
    <s v="Arjun"/>
    <x v="4"/>
    <x v="2"/>
    <x v="1"/>
    <n v="1"/>
    <n v="1500"/>
    <n v="0.05"/>
    <n v="1425"/>
    <x v="1"/>
  </r>
  <r>
    <n v="1419"/>
    <x v="159"/>
    <s v="Sanjay"/>
    <x v="4"/>
    <x v="4"/>
    <x v="1"/>
    <n v="5"/>
    <n v="2000"/>
    <n v="0"/>
    <n v="10000"/>
    <x v="10"/>
  </r>
  <r>
    <n v="1829"/>
    <x v="225"/>
    <s v="Sanjay"/>
    <x v="2"/>
    <x v="4"/>
    <x v="1"/>
    <n v="4"/>
    <n v="2000"/>
    <n v="0.15"/>
    <n v="6800"/>
    <x v="4"/>
  </r>
  <r>
    <n v="1848"/>
    <x v="333"/>
    <s v="Rohit"/>
    <x v="4"/>
    <x v="4"/>
    <x v="1"/>
    <n v="5"/>
    <n v="2000"/>
    <n v="0"/>
    <n v="10000"/>
    <x v="4"/>
  </r>
  <r>
    <n v="1831"/>
    <x v="329"/>
    <s v="Ravi"/>
    <x v="0"/>
    <x v="2"/>
    <x v="1"/>
    <n v="1"/>
    <n v="1500"/>
    <n v="0"/>
    <n v="1500"/>
    <x v="0"/>
  </r>
  <r>
    <n v="1832"/>
    <x v="56"/>
    <s v="Anjali"/>
    <x v="4"/>
    <x v="7"/>
    <x v="2"/>
    <n v="1"/>
    <n v="7000"/>
    <n v="0.1"/>
    <n v="6300"/>
    <x v="1"/>
  </r>
  <r>
    <n v="1833"/>
    <x v="334"/>
    <s v="Aman"/>
    <x v="7"/>
    <x v="1"/>
    <x v="0"/>
    <n v="3"/>
    <n v="50000"/>
    <n v="0.05"/>
    <n v="142500"/>
    <x v="10"/>
  </r>
  <r>
    <n v="1834"/>
    <x v="138"/>
    <s v="Sneha"/>
    <x v="2"/>
    <x v="4"/>
    <x v="1"/>
    <n v="2"/>
    <n v="2000"/>
    <n v="0.05"/>
    <n v="3800"/>
    <x v="0"/>
  </r>
  <r>
    <n v="1835"/>
    <x v="48"/>
    <s v="Arjun"/>
    <x v="2"/>
    <x v="5"/>
    <x v="2"/>
    <n v="3"/>
    <n v="3000"/>
    <n v="0.1"/>
    <n v="8100"/>
    <x v="10"/>
  </r>
  <r>
    <n v="1836"/>
    <x v="97"/>
    <s v="Simran"/>
    <x v="1"/>
    <x v="0"/>
    <x v="0"/>
    <n v="3"/>
    <n v="20000"/>
    <n v="0.15"/>
    <n v="51000"/>
    <x v="9"/>
  </r>
  <r>
    <n v="1837"/>
    <x v="197"/>
    <s v="Aman"/>
    <x v="4"/>
    <x v="7"/>
    <x v="2"/>
    <n v="1"/>
    <n v="7000"/>
    <n v="0.15"/>
    <n v="5950"/>
    <x v="10"/>
  </r>
  <r>
    <n v="1838"/>
    <x v="91"/>
    <s v="Sanjay"/>
    <x v="3"/>
    <x v="4"/>
    <x v="1"/>
    <n v="4"/>
    <n v="2000"/>
    <n v="0.15"/>
    <n v="6800"/>
    <x v="9"/>
  </r>
  <r>
    <n v="1839"/>
    <x v="335"/>
    <s v="Aman"/>
    <x v="4"/>
    <x v="2"/>
    <x v="1"/>
    <n v="1"/>
    <n v="1500"/>
    <n v="0.1"/>
    <n v="1350"/>
    <x v="11"/>
  </r>
  <r>
    <n v="1840"/>
    <x v="191"/>
    <s v="Aman"/>
    <x v="6"/>
    <x v="3"/>
    <x v="0"/>
    <n v="3"/>
    <n v="30000"/>
    <n v="0.05"/>
    <n v="85500"/>
    <x v="9"/>
  </r>
  <r>
    <n v="1296"/>
    <x v="218"/>
    <s v="Rahul"/>
    <x v="4"/>
    <x v="4"/>
    <x v="1"/>
    <n v="5"/>
    <n v="2000"/>
    <n v="0.05"/>
    <n v="9500"/>
    <x v="4"/>
  </r>
  <r>
    <n v="1842"/>
    <x v="290"/>
    <s v="Neha"/>
    <x v="7"/>
    <x v="2"/>
    <x v="1"/>
    <n v="2"/>
    <n v="1500"/>
    <n v="0.05"/>
    <n v="2850"/>
    <x v="4"/>
  </r>
  <r>
    <n v="1459"/>
    <x v="147"/>
    <s v="Simran"/>
    <x v="4"/>
    <x v="4"/>
    <x v="1"/>
    <n v="5"/>
    <n v="2000"/>
    <n v="0.05"/>
    <n v="9500"/>
    <x v="2"/>
  </r>
  <r>
    <n v="1844"/>
    <x v="268"/>
    <s v="Anjali"/>
    <x v="7"/>
    <x v="2"/>
    <x v="1"/>
    <n v="2"/>
    <n v="1500"/>
    <n v="0.05"/>
    <n v="2850"/>
    <x v="11"/>
  </r>
  <r>
    <n v="1528"/>
    <x v="95"/>
    <s v="Anjali"/>
    <x v="7"/>
    <x v="4"/>
    <x v="1"/>
    <n v="5"/>
    <n v="2000"/>
    <n v="0.05"/>
    <n v="9500"/>
    <x v="2"/>
  </r>
  <r>
    <n v="1846"/>
    <x v="225"/>
    <s v="Neha"/>
    <x v="1"/>
    <x v="0"/>
    <x v="0"/>
    <n v="3"/>
    <n v="20000"/>
    <n v="0.15"/>
    <n v="51000"/>
    <x v="4"/>
  </r>
  <r>
    <n v="1847"/>
    <x v="243"/>
    <s v="Anjali"/>
    <x v="4"/>
    <x v="2"/>
    <x v="1"/>
    <n v="4"/>
    <n v="1500"/>
    <n v="0.1"/>
    <n v="5400"/>
    <x v="4"/>
  </r>
  <r>
    <n v="1531"/>
    <x v="49"/>
    <s v="Rahul"/>
    <x v="0"/>
    <x v="4"/>
    <x v="1"/>
    <n v="5"/>
    <n v="2000"/>
    <n v="0.05"/>
    <n v="9500"/>
    <x v="9"/>
  </r>
  <r>
    <n v="1538"/>
    <x v="82"/>
    <s v="Priya"/>
    <x v="7"/>
    <x v="4"/>
    <x v="1"/>
    <n v="5"/>
    <n v="2000"/>
    <n v="0.05"/>
    <n v="9500"/>
    <x v="5"/>
  </r>
  <r>
    <n v="1850"/>
    <x v="24"/>
    <s v="Priya"/>
    <x v="3"/>
    <x v="5"/>
    <x v="2"/>
    <n v="3"/>
    <n v="3000"/>
    <n v="0.05"/>
    <n v="8550"/>
    <x v="10"/>
  </r>
  <r>
    <n v="1941"/>
    <x v="97"/>
    <s v="Neha"/>
    <x v="7"/>
    <x v="4"/>
    <x v="1"/>
    <n v="5"/>
    <n v="2000"/>
    <n v="0.05"/>
    <n v="9500"/>
    <x v="9"/>
  </r>
  <r>
    <n v="1852"/>
    <x v="336"/>
    <s v="Ravi"/>
    <x v="4"/>
    <x v="0"/>
    <x v="0"/>
    <n v="3"/>
    <n v="20000"/>
    <n v="0.15"/>
    <n v="51000"/>
    <x v="6"/>
  </r>
  <r>
    <n v="1007"/>
    <x v="194"/>
    <s v="Manish"/>
    <x v="1"/>
    <x v="4"/>
    <x v="1"/>
    <n v="5"/>
    <n v="2000"/>
    <n v="0.1"/>
    <n v="9000"/>
    <x v="8"/>
  </r>
  <r>
    <n v="1854"/>
    <x v="337"/>
    <s v="Aman"/>
    <x v="5"/>
    <x v="3"/>
    <x v="0"/>
    <n v="1"/>
    <n v="30000"/>
    <n v="0.15"/>
    <n v="25500"/>
    <x v="2"/>
  </r>
  <r>
    <n v="1855"/>
    <x v="83"/>
    <s v="Pooja"/>
    <x v="3"/>
    <x v="3"/>
    <x v="0"/>
    <n v="1"/>
    <n v="30000"/>
    <n v="0.1"/>
    <n v="27000"/>
    <x v="1"/>
  </r>
  <r>
    <n v="1856"/>
    <x v="143"/>
    <s v="Pooja"/>
    <x v="4"/>
    <x v="6"/>
    <x v="0"/>
    <n v="1"/>
    <n v="12000"/>
    <n v="0"/>
    <n v="12000"/>
    <x v="3"/>
  </r>
  <r>
    <n v="1857"/>
    <x v="141"/>
    <s v="Arjun"/>
    <x v="2"/>
    <x v="0"/>
    <x v="0"/>
    <n v="1"/>
    <n v="20000"/>
    <n v="0.1"/>
    <n v="18000"/>
    <x v="5"/>
  </r>
  <r>
    <n v="1320"/>
    <x v="137"/>
    <s v="Pooja"/>
    <x v="7"/>
    <x v="4"/>
    <x v="1"/>
    <n v="5"/>
    <n v="2000"/>
    <n v="0.1"/>
    <n v="9000"/>
    <x v="7"/>
  </r>
  <r>
    <n v="1859"/>
    <x v="50"/>
    <s v="Ravi"/>
    <x v="3"/>
    <x v="3"/>
    <x v="0"/>
    <n v="2"/>
    <n v="30000"/>
    <n v="0.15"/>
    <n v="51000"/>
    <x v="2"/>
  </r>
  <r>
    <n v="1361"/>
    <x v="184"/>
    <s v="Vikas"/>
    <x v="0"/>
    <x v="4"/>
    <x v="1"/>
    <n v="5"/>
    <n v="2000"/>
    <n v="0.1"/>
    <n v="9000"/>
    <x v="0"/>
  </r>
  <r>
    <n v="1861"/>
    <x v="245"/>
    <s v="Sneha"/>
    <x v="4"/>
    <x v="3"/>
    <x v="0"/>
    <n v="1"/>
    <n v="30000"/>
    <n v="0.1"/>
    <n v="27000"/>
    <x v="7"/>
  </r>
  <r>
    <n v="1862"/>
    <x v="151"/>
    <s v="Pooja"/>
    <x v="6"/>
    <x v="7"/>
    <x v="2"/>
    <n v="2"/>
    <n v="7000"/>
    <n v="0.1"/>
    <n v="12600"/>
    <x v="10"/>
  </r>
  <r>
    <n v="1450"/>
    <x v="338"/>
    <s v="Rohit"/>
    <x v="4"/>
    <x v="4"/>
    <x v="1"/>
    <n v="5"/>
    <n v="2000"/>
    <n v="0.1"/>
    <n v="9000"/>
    <x v="5"/>
  </r>
  <r>
    <n v="1864"/>
    <x v="232"/>
    <s v="Sanjay"/>
    <x v="6"/>
    <x v="2"/>
    <x v="1"/>
    <n v="2"/>
    <n v="1500"/>
    <n v="0"/>
    <n v="3000"/>
    <x v="3"/>
  </r>
  <r>
    <n v="1592"/>
    <x v="339"/>
    <s v="Rohit"/>
    <x v="5"/>
    <x v="4"/>
    <x v="1"/>
    <n v="5"/>
    <n v="2000"/>
    <n v="0.1"/>
    <n v="9000"/>
    <x v="9"/>
  </r>
  <r>
    <n v="1154"/>
    <x v="321"/>
    <s v="Simran"/>
    <x v="3"/>
    <x v="4"/>
    <x v="1"/>
    <n v="5"/>
    <n v="2000"/>
    <n v="0.15"/>
    <n v="8500"/>
    <x v="4"/>
  </r>
  <r>
    <n v="1867"/>
    <x v="242"/>
    <s v="Karan"/>
    <x v="0"/>
    <x v="3"/>
    <x v="0"/>
    <n v="3"/>
    <n v="30000"/>
    <n v="0.05"/>
    <n v="85500"/>
    <x v="6"/>
  </r>
  <r>
    <n v="1868"/>
    <x v="94"/>
    <s v="Rahul"/>
    <x v="0"/>
    <x v="4"/>
    <x v="1"/>
    <n v="1"/>
    <n v="2000"/>
    <n v="0"/>
    <n v="2000"/>
    <x v="1"/>
  </r>
  <r>
    <n v="1869"/>
    <x v="183"/>
    <s v="Vikas"/>
    <x v="7"/>
    <x v="1"/>
    <x v="0"/>
    <n v="3"/>
    <n v="50000"/>
    <n v="0.15"/>
    <n v="127500"/>
    <x v="3"/>
  </r>
  <r>
    <n v="1870"/>
    <x v="118"/>
    <s v="Karan"/>
    <x v="0"/>
    <x v="7"/>
    <x v="2"/>
    <n v="2"/>
    <n v="7000"/>
    <n v="0.05"/>
    <n v="13300"/>
    <x v="10"/>
  </r>
  <r>
    <n v="1217"/>
    <x v="93"/>
    <s v="Arjun"/>
    <x v="6"/>
    <x v="4"/>
    <x v="1"/>
    <n v="5"/>
    <n v="2000"/>
    <n v="0.15"/>
    <n v="8500"/>
    <x v="2"/>
  </r>
  <r>
    <n v="1872"/>
    <x v="197"/>
    <s v="Simran"/>
    <x v="0"/>
    <x v="5"/>
    <x v="2"/>
    <n v="1"/>
    <n v="3000"/>
    <n v="0.1"/>
    <n v="2700"/>
    <x v="10"/>
  </r>
  <r>
    <n v="1873"/>
    <x v="143"/>
    <s v="Simran"/>
    <x v="7"/>
    <x v="6"/>
    <x v="0"/>
    <n v="3"/>
    <n v="12000"/>
    <n v="0.05"/>
    <n v="34200"/>
    <x v="3"/>
  </r>
  <r>
    <n v="1874"/>
    <x v="65"/>
    <s v="Aman"/>
    <x v="6"/>
    <x v="3"/>
    <x v="0"/>
    <n v="2"/>
    <n v="30000"/>
    <n v="0.05"/>
    <n v="57000"/>
    <x v="1"/>
  </r>
  <r>
    <n v="1875"/>
    <x v="56"/>
    <s v="Anjali"/>
    <x v="2"/>
    <x v="1"/>
    <x v="0"/>
    <n v="3"/>
    <n v="50000"/>
    <n v="0.15"/>
    <n v="127500"/>
    <x v="1"/>
  </r>
  <r>
    <n v="1876"/>
    <x v="332"/>
    <s v="Simran"/>
    <x v="4"/>
    <x v="0"/>
    <x v="0"/>
    <n v="2"/>
    <n v="20000"/>
    <n v="0.15"/>
    <n v="34000"/>
    <x v="5"/>
  </r>
  <r>
    <n v="1877"/>
    <x v="174"/>
    <s v="Aman"/>
    <x v="6"/>
    <x v="6"/>
    <x v="0"/>
    <n v="2"/>
    <n v="12000"/>
    <n v="0.15"/>
    <n v="20400"/>
    <x v="3"/>
  </r>
  <r>
    <n v="1878"/>
    <x v="276"/>
    <s v="Priya"/>
    <x v="7"/>
    <x v="4"/>
    <x v="1"/>
    <n v="4"/>
    <n v="2000"/>
    <n v="0"/>
    <n v="8000"/>
    <x v="11"/>
  </r>
  <r>
    <n v="1879"/>
    <x v="110"/>
    <s v="Arjun"/>
    <x v="3"/>
    <x v="6"/>
    <x v="0"/>
    <n v="1"/>
    <n v="12000"/>
    <n v="0.05"/>
    <n v="11400"/>
    <x v="11"/>
  </r>
  <r>
    <n v="1434"/>
    <x v="126"/>
    <s v="Arjun"/>
    <x v="1"/>
    <x v="4"/>
    <x v="1"/>
    <n v="5"/>
    <n v="2000"/>
    <n v="0.15"/>
    <n v="8500"/>
    <x v="5"/>
  </r>
  <r>
    <n v="1881"/>
    <x v="340"/>
    <s v="Rohit"/>
    <x v="6"/>
    <x v="2"/>
    <x v="1"/>
    <n v="3"/>
    <n v="1500"/>
    <n v="0.1"/>
    <n v="4050"/>
    <x v="6"/>
  </r>
  <r>
    <n v="1558"/>
    <x v="3"/>
    <s v="Sanjay"/>
    <x v="3"/>
    <x v="4"/>
    <x v="1"/>
    <n v="5"/>
    <n v="2000"/>
    <n v="0.15"/>
    <n v="8500"/>
    <x v="2"/>
  </r>
  <r>
    <n v="1883"/>
    <x v="279"/>
    <s v="Karan"/>
    <x v="6"/>
    <x v="6"/>
    <x v="0"/>
    <n v="1"/>
    <n v="12000"/>
    <n v="0"/>
    <n v="12000"/>
    <x v="1"/>
  </r>
  <r>
    <n v="1884"/>
    <x v="14"/>
    <s v="Rohit"/>
    <x v="7"/>
    <x v="2"/>
    <x v="1"/>
    <n v="3"/>
    <n v="1500"/>
    <n v="0.15"/>
    <n v="3825"/>
    <x v="8"/>
  </r>
  <r>
    <n v="1885"/>
    <x v="250"/>
    <s v="Rahul"/>
    <x v="0"/>
    <x v="5"/>
    <x v="2"/>
    <n v="4"/>
    <n v="3000"/>
    <n v="0"/>
    <n v="12000"/>
    <x v="0"/>
  </r>
  <r>
    <n v="1886"/>
    <x v="99"/>
    <s v="Manish"/>
    <x v="4"/>
    <x v="0"/>
    <x v="0"/>
    <n v="1"/>
    <n v="20000"/>
    <n v="0"/>
    <n v="20000"/>
    <x v="7"/>
  </r>
  <r>
    <n v="1649"/>
    <x v="217"/>
    <s v="Sanjay"/>
    <x v="5"/>
    <x v="4"/>
    <x v="1"/>
    <n v="5"/>
    <n v="2000"/>
    <n v="0.15"/>
    <n v="8500"/>
    <x v="6"/>
  </r>
  <r>
    <n v="1888"/>
    <x v="341"/>
    <s v="Karan"/>
    <x v="0"/>
    <x v="2"/>
    <x v="1"/>
    <n v="1"/>
    <n v="1500"/>
    <n v="0.05"/>
    <n v="1425"/>
    <x v="4"/>
  </r>
  <r>
    <n v="1889"/>
    <x v="217"/>
    <s v="Vikas"/>
    <x v="5"/>
    <x v="3"/>
    <x v="0"/>
    <n v="2"/>
    <n v="30000"/>
    <n v="0"/>
    <n v="60000"/>
    <x v="6"/>
  </r>
  <r>
    <n v="1890"/>
    <x v="113"/>
    <s v="Karan"/>
    <x v="2"/>
    <x v="6"/>
    <x v="0"/>
    <n v="3"/>
    <n v="12000"/>
    <n v="0.05"/>
    <n v="34200"/>
    <x v="9"/>
  </r>
  <r>
    <n v="1019"/>
    <x v="119"/>
    <s v="Arjun"/>
    <x v="7"/>
    <x v="2"/>
    <x v="1"/>
    <n v="5"/>
    <n v="1500"/>
    <n v="0"/>
    <n v="7500"/>
    <x v="3"/>
  </r>
  <r>
    <n v="1137"/>
    <x v="9"/>
    <s v="Neha"/>
    <x v="4"/>
    <x v="2"/>
    <x v="1"/>
    <n v="5"/>
    <n v="1500"/>
    <n v="0"/>
    <n v="7500"/>
    <x v="6"/>
  </r>
  <r>
    <n v="1189"/>
    <x v="313"/>
    <s v="Simran"/>
    <x v="7"/>
    <x v="2"/>
    <x v="1"/>
    <n v="5"/>
    <n v="1500"/>
    <n v="0"/>
    <n v="7500"/>
    <x v="10"/>
  </r>
  <r>
    <n v="1287"/>
    <x v="296"/>
    <s v="Karan"/>
    <x v="5"/>
    <x v="2"/>
    <x v="1"/>
    <n v="5"/>
    <n v="1500"/>
    <n v="0"/>
    <n v="7500"/>
    <x v="9"/>
  </r>
  <r>
    <n v="1895"/>
    <x v="29"/>
    <s v="Sneha"/>
    <x v="3"/>
    <x v="1"/>
    <x v="0"/>
    <n v="2"/>
    <n v="50000"/>
    <n v="0.05"/>
    <n v="95000"/>
    <x v="8"/>
  </r>
  <r>
    <n v="1896"/>
    <x v="76"/>
    <s v="Neha"/>
    <x v="3"/>
    <x v="3"/>
    <x v="0"/>
    <n v="1"/>
    <n v="30000"/>
    <n v="0.1"/>
    <n v="27000"/>
    <x v="4"/>
  </r>
  <r>
    <n v="1897"/>
    <x v="22"/>
    <s v="Vikas"/>
    <x v="0"/>
    <x v="0"/>
    <x v="0"/>
    <n v="4"/>
    <n v="20000"/>
    <n v="0.05"/>
    <n v="76000"/>
    <x v="9"/>
  </r>
  <r>
    <n v="1582"/>
    <x v="278"/>
    <s v="Ravi"/>
    <x v="7"/>
    <x v="2"/>
    <x v="1"/>
    <n v="5"/>
    <n v="1500"/>
    <n v="0"/>
    <n v="7500"/>
    <x v="7"/>
  </r>
  <r>
    <n v="1899"/>
    <x v="249"/>
    <s v="Kavya"/>
    <x v="1"/>
    <x v="4"/>
    <x v="1"/>
    <n v="3"/>
    <n v="2000"/>
    <n v="0.15"/>
    <n v="5100"/>
    <x v="10"/>
  </r>
  <r>
    <n v="1900"/>
    <x v="189"/>
    <s v="Pooja"/>
    <x v="4"/>
    <x v="7"/>
    <x v="2"/>
    <n v="4"/>
    <n v="7000"/>
    <n v="0.05"/>
    <n v="26600"/>
    <x v="9"/>
  </r>
  <r>
    <n v="1858"/>
    <x v="182"/>
    <s v="Simran"/>
    <x v="1"/>
    <x v="2"/>
    <x v="1"/>
    <n v="5"/>
    <n v="1500"/>
    <n v="0"/>
    <n v="7500"/>
    <x v="4"/>
  </r>
  <r>
    <n v="1880"/>
    <x v="264"/>
    <s v="Vikas"/>
    <x v="7"/>
    <x v="2"/>
    <x v="1"/>
    <n v="5"/>
    <n v="1500"/>
    <n v="0"/>
    <n v="7500"/>
    <x v="1"/>
  </r>
  <r>
    <n v="1903"/>
    <x v="49"/>
    <s v="Simran"/>
    <x v="7"/>
    <x v="4"/>
    <x v="1"/>
    <n v="3"/>
    <n v="2000"/>
    <n v="0.1"/>
    <n v="5400"/>
    <x v="9"/>
  </r>
  <r>
    <n v="1904"/>
    <x v="62"/>
    <s v="Vikas"/>
    <x v="2"/>
    <x v="6"/>
    <x v="0"/>
    <n v="2"/>
    <n v="12000"/>
    <n v="0.05"/>
    <n v="22800"/>
    <x v="7"/>
  </r>
  <r>
    <n v="1905"/>
    <x v="128"/>
    <s v="Priya"/>
    <x v="2"/>
    <x v="1"/>
    <x v="0"/>
    <n v="1"/>
    <n v="50000"/>
    <n v="0"/>
    <n v="50000"/>
    <x v="6"/>
  </r>
  <r>
    <n v="1906"/>
    <x v="107"/>
    <s v="Sneha"/>
    <x v="2"/>
    <x v="2"/>
    <x v="1"/>
    <n v="4"/>
    <n v="1500"/>
    <n v="0"/>
    <n v="6000"/>
    <x v="4"/>
  </r>
  <r>
    <n v="1907"/>
    <x v="236"/>
    <s v="Neha"/>
    <x v="5"/>
    <x v="1"/>
    <x v="0"/>
    <n v="2"/>
    <n v="50000"/>
    <n v="0.1"/>
    <n v="90000"/>
    <x v="0"/>
  </r>
  <r>
    <n v="1921"/>
    <x v="315"/>
    <s v="Vikas"/>
    <x v="3"/>
    <x v="2"/>
    <x v="1"/>
    <n v="5"/>
    <n v="1500"/>
    <n v="0"/>
    <n v="7500"/>
    <x v="8"/>
  </r>
  <r>
    <n v="1909"/>
    <x v="105"/>
    <s v="Anjali"/>
    <x v="4"/>
    <x v="4"/>
    <x v="1"/>
    <n v="4"/>
    <n v="2000"/>
    <n v="0"/>
    <n v="8000"/>
    <x v="9"/>
  </r>
  <r>
    <n v="1910"/>
    <x v="285"/>
    <s v="Karan"/>
    <x v="7"/>
    <x v="4"/>
    <x v="1"/>
    <n v="4"/>
    <n v="2000"/>
    <n v="0.15"/>
    <n v="6800"/>
    <x v="8"/>
  </r>
  <r>
    <n v="1911"/>
    <x v="340"/>
    <s v="Kavya"/>
    <x v="3"/>
    <x v="3"/>
    <x v="0"/>
    <n v="4"/>
    <n v="30000"/>
    <n v="0.1"/>
    <n v="108000"/>
    <x v="6"/>
  </r>
  <r>
    <n v="1179"/>
    <x v="135"/>
    <s v="Priya"/>
    <x v="7"/>
    <x v="2"/>
    <x v="1"/>
    <n v="5"/>
    <n v="1500"/>
    <n v="0.05"/>
    <n v="7125"/>
    <x v="3"/>
  </r>
  <r>
    <n v="1913"/>
    <x v="116"/>
    <s v="Pooja"/>
    <x v="3"/>
    <x v="4"/>
    <x v="1"/>
    <n v="3"/>
    <n v="2000"/>
    <n v="0"/>
    <n v="6000"/>
    <x v="9"/>
  </r>
  <r>
    <n v="1914"/>
    <x v="131"/>
    <s v="Arjun"/>
    <x v="0"/>
    <x v="4"/>
    <x v="1"/>
    <n v="4"/>
    <n v="2000"/>
    <n v="0.05"/>
    <n v="7600"/>
    <x v="2"/>
  </r>
  <r>
    <n v="1915"/>
    <x v="181"/>
    <s v="Aman"/>
    <x v="5"/>
    <x v="0"/>
    <x v="0"/>
    <n v="3"/>
    <n v="20000"/>
    <n v="0.1"/>
    <n v="54000"/>
    <x v="7"/>
  </r>
  <r>
    <n v="1916"/>
    <x v="184"/>
    <s v="Sneha"/>
    <x v="7"/>
    <x v="2"/>
    <x v="1"/>
    <n v="1"/>
    <n v="1500"/>
    <n v="0.15"/>
    <n v="1275"/>
    <x v="0"/>
  </r>
  <r>
    <n v="1917"/>
    <x v="105"/>
    <s v="Priya"/>
    <x v="4"/>
    <x v="7"/>
    <x v="2"/>
    <n v="2"/>
    <n v="7000"/>
    <n v="0.1"/>
    <n v="12600"/>
    <x v="9"/>
  </r>
  <r>
    <n v="1918"/>
    <x v="199"/>
    <s v="Ravi"/>
    <x v="7"/>
    <x v="1"/>
    <x v="0"/>
    <n v="2"/>
    <n v="50000"/>
    <n v="0"/>
    <n v="100000"/>
    <x v="6"/>
  </r>
  <r>
    <n v="1919"/>
    <x v="208"/>
    <s v="Vikas"/>
    <x v="4"/>
    <x v="3"/>
    <x v="0"/>
    <n v="2"/>
    <n v="30000"/>
    <n v="0.1"/>
    <n v="54000"/>
    <x v="11"/>
  </r>
  <r>
    <n v="1920"/>
    <x v="16"/>
    <s v="Aman"/>
    <x v="7"/>
    <x v="3"/>
    <x v="0"/>
    <n v="1"/>
    <n v="30000"/>
    <n v="0.05"/>
    <n v="28500"/>
    <x v="1"/>
  </r>
  <r>
    <n v="1377"/>
    <x v="200"/>
    <s v="Rahul"/>
    <x v="5"/>
    <x v="2"/>
    <x v="1"/>
    <n v="5"/>
    <n v="1500"/>
    <n v="0.05"/>
    <n v="7125"/>
    <x v="11"/>
  </r>
  <r>
    <n v="1922"/>
    <x v="342"/>
    <s v="Priya"/>
    <x v="5"/>
    <x v="0"/>
    <x v="0"/>
    <n v="3"/>
    <n v="20000"/>
    <n v="0.15"/>
    <n v="51000"/>
    <x v="8"/>
  </r>
  <r>
    <n v="1411"/>
    <x v="327"/>
    <s v="Rahul"/>
    <x v="2"/>
    <x v="2"/>
    <x v="1"/>
    <n v="5"/>
    <n v="1500"/>
    <n v="0.05"/>
    <n v="7125"/>
    <x v="4"/>
  </r>
  <r>
    <n v="1924"/>
    <x v="145"/>
    <s v="Rahul"/>
    <x v="7"/>
    <x v="5"/>
    <x v="2"/>
    <n v="2"/>
    <n v="3000"/>
    <n v="0.1"/>
    <n v="5400"/>
    <x v="0"/>
  </r>
  <r>
    <n v="1925"/>
    <x v="44"/>
    <s v="Pooja"/>
    <x v="1"/>
    <x v="0"/>
    <x v="0"/>
    <n v="3"/>
    <n v="20000"/>
    <n v="0.05"/>
    <n v="57000"/>
    <x v="9"/>
  </r>
  <r>
    <n v="1438"/>
    <x v="162"/>
    <s v="Arjun"/>
    <x v="6"/>
    <x v="2"/>
    <x v="1"/>
    <n v="5"/>
    <n v="1500"/>
    <n v="0.05"/>
    <n v="7125"/>
    <x v="2"/>
  </r>
  <r>
    <n v="1927"/>
    <x v="93"/>
    <s v="Sanjay"/>
    <x v="0"/>
    <x v="7"/>
    <x v="2"/>
    <n v="2"/>
    <n v="7000"/>
    <n v="0.1"/>
    <n v="12600"/>
    <x v="2"/>
  </r>
  <r>
    <n v="1928"/>
    <x v="74"/>
    <s v="Manish"/>
    <x v="3"/>
    <x v="0"/>
    <x v="0"/>
    <n v="3"/>
    <n v="20000"/>
    <n v="0.1"/>
    <n v="54000"/>
    <x v="2"/>
  </r>
  <r>
    <n v="1929"/>
    <x v="292"/>
    <s v="Aman"/>
    <x v="1"/>
    <x v="3"/>
    <x v="0"/>
    <n v="1"/>
    <n v="30000"/>
    <n v="0.15"/>
    <n v="25500"/>
    <x v="7"/>
  </r>
  <r>
    <n v="1930"/>
    <x v="316"/>
    <s v="Arjun"/>
    <x v="0"/>
    <x v="2"/>
    <x v="1"/>
    <n v="1"/>
    <n v="1500"/>
    <n v="0"/>
    <n v="1500"/>
    <x v="6"/>
  </r>
  <r>
    <n v="1845"/>
    <x v="50"/>
    <s v="Sanjay"/>
    <x v="2"/>
    <x v="2"/>
    <x v="1"/>
    <n v="5"/>
    <n v="1500"/>
    <n v="0.05"/>
    <n v="7125"/>
    <x v="2"/>
  </r>
  <r>
    <n v="1932"/>
    <x v="48"/>
    <s v="Manish"/>
    <x v="1"/>
    <x v="0"/>
    <x v="0"/>
    <n v="4"/>
    <n v="20000"/>
    <n v="0.05"/>
    <n v="76000"/>
    <x v="10"/>
  </r>
  <r>
    <n v="1933"/>
    <x v="343"/>
    <s v="Sanjay"/>
    <x v="2"/>
    <x v="6"/>
    <x v="0"/>
    <n v="3"/>
    <n v="12000"/>
    <n v="0.15"/>
    <n v="30600"/>
    <x v="6"/>
  </r>
  <r>
    <n v="1901"/>
    <x v="270"/>
    <s v="Anjali"/>
    <x v="3"/>
    <x v="2"/>
    <x v="1"/>
    <n v="5"/>
    <n v="1500"/>
    <n v="0.05"/>
    <n v="7125"/>
    <x v="7"/>
  </r>
  <r>
    <n v="1935"/>
    <x v="190"/>
    <s v="Ravi"/>
    <x v="1"/>
    <x v="4"/>
    <x v="1"/>
    <n v="3"/>
    <n v="2000"/>
    <n v="0.15"/>
    <n v="5100"/>
    <x v="11"/>
  </r>
  <r>
    <n v="1936"/>
    <x v="204"/>
    <s v="Manish"/>
    <x v="0"/>
    <x v="6"/>
    <x v="0"/>
    <n v="1"/>
    <n v="12000"/>
    <n v="0.1"/>
    <n v="10800"/>
    <x v="11"/>
  </r>
  <r>
    <n v="1937"/>
    <x v="255"/>
    <s v="Priya"/>
    <x v="6"/>
    <x v="7"/>
    <x v="2"/>
    <n v="3"/>
    <n v="7000"/>
    <n v="0.05"/>
    <n v="19950"/>
    <x v="11"/>
  </r>
  <r>
    <n v="1938"/>
    <x v="92"/>
    <s v="Manish"/>
    <x v="6"/>
    <x v="0"/>
    <x v="0"/>
    <n v="3"/>
    <n v="20000"/>
    <n v="0"/>
    <n v="60000"/>
    <x v="4"/>
  </r>
  <r>
    <n v="1939"/>
    <x v="289"/>
    <s v="Rohit"/>
    <x v="7"/>
    <x v="2"/>
    <x v="1"/>
    <n v="2"/>
    <n v="1500"/>
    <n v="0.05"/>
    <n v="2850"/>
    <x v="2"/>
  </r>
  <r>
    <n v="1940"/>
    <x v="11"/>
    <s v="Kavya"/>
    <x v="6"/>
    <x v="2"/>
    <x v="1"/>
    <n v="1"/>
    <n v="1500"/>
    <n v="0.1"/>
    <n v="1350"/>
    <x v="1"/>
  </r>
  <r>
    <n v="1955"/>
    <x v="9"/>
    <s v="Kavya"/>
    <x v="7"/>
    <x v="2"/>
    <x v="1"/>
    <n v="5"/>
    <n v="1500"/>
    <n v="0.05"/>
    <n v="7125"/>
    <x v="6"/>
  </r>
  <r>
    <n v="1064"/>
    <x v="111"/>
    <s v="Priya"/>
    <x v="5"/>
    <x v="2"/>
    <x v="1"/>
    <n v="5"/>
    <n v="1500"/>
    <n v="0.1"/>
    <n v="6750"/>
    <x v="8"/>
  </r>
  <r>
    <n v="1943"/>
    <x v="58"/>
    <s v="Priya"/>
    <x v="6"/>
    <x v="3"/>
    <x v="0"/>
    <n v="3"/>
    <n v="30000"/>
    <n v="0.15"/>
    <n v="76500"/>
    <x v="10"/>
  </r>
  <r>
    <n v="1944"/>
    <x v="157"/>
    <s v="Anjali"/>
    <x v="0"/>
    <x v="4"/>
    <x v="1"/>
    <n v="4"/>
    <n v="2000"/>
    <n v="0"/>
    <n v="8000"/>
    <x v="10"/>
  </r>
  <r>
    <n v="1945"/>
    <x v="305"/>
    <s v="Vikas"/>
    <x v="6"/>
    <x v="1"/>
    <x v="0"/>
    <n v="2"/>
    <n v="50000"/>
    <n v="0.05"/>
    <n v="95000"/>
    <x v="6"/>
  </r>
  <r>
    <n v="1946"/>
    <x v="295"/>
    <s v="Rahul"/>
    <x v="5"/>
    <x v="6"/>
    <x v="0"/>
    <n v="2"/>
    <n v="12000"/>
    <n v="0.05"/>
    <n v="22800"/>
    <x v="7"/>
  </r>
  <r>
    <n v="1947"/>
    <x v="324"/>
    <s v="Ravi"/>
    <x v="6"/>
    <x v="7"/>
    <x v="2"/>
    <n v="4"/>
    <n v="7000"/>
    <n v="0.1"/>
    <n v="25200"/>
    <x v="10"/>
  </r>
  <r>
    <n v="1948"/>
    <x v="51"/>
    <s v="Aman"/>
    <x v="3"/>
    <x v="3"/>
    <x v="0"/>
    <n v="3"/>
    <n v="30000"/>
    <n v="0"/>
    <n v="90000"/>
    <x v="3"/>
  </r>
  <r>
    <n v="1949"/>
    <x v="344"/>
    <s v="Sanjay"/>
    <x v="6"/>
    <x v="4"/>
    <x v="1"/>
    <n v="1"/>
    <n v="2000"/>
    <n v="0.1"/>
    <n v="1800"/>
    <x v="8"/>
  </r>
  <r>
    <n v="1950"/>
    <x v="174"/>
    <s v="Arjun"/>
    <x v="6"/>
    <x v="2"/>
    <x v="1"/>
    <n v="3"/>
    <n v="1500"/>
    <n v="0.15"/>
    <n v="3825"/>
    <x v="3"/>
  </r>
  <r>
    <n v="1951"/>
    <x v="15"/>
    <s v="Anjali"/>
    <x v="6"/>
    <x v="5"/>
    <x v="2"/>
    <n v="2"/>
    <n v="3000"/>
    <n v="0.15"/>
    <n v="5100"/>
    <x v="9"/>
  </r>
  <r>
    <n v="1952"/>
    <x v="219"/>
    <s v="Karan"/>
    <x v="0"/>
    <x v="4"/>
    <x v="1"/>
    <n v="4"/>
    <n v="2000"/>
    <n v="0.05"/>
    <n v="7600"/>
    <x v="0"/>
  </r>
  <r>
    <n v="1953"/>
    <x v="19"/>
    <s v="Simran"/>
    <x v="6"/>
    <x v="1"/>
    <x v="0"/>
    <n v="1"/>
    <n v="50000"/>
    <n v="0"/>
    <n v="50000"/>
    <x v="9"/>
  </r>
  <r>
    <n v="1954"/>
    <x v="146"/>
    <s v="Kavya"/>
    <x v="7"/>
    <x v="3"/>
    <x v="0"/>
    <n v="1"/>
    <n v="30000"/>
    <n v="0.05"/>
    <n v="28500"/>
    <x v="5"/>
  </r>
  <r>
    <n v="1312"/>
    <x v="86"/>
    <s v="Rahul"/>
    <x v="7"/>
    <x v="2"/>
    <x v="1"/>
    <n v="5"/>
    <n v="1500"/>
    <n v="0.1"/>
    <n v="6750"/>
    <x v="2"/>
  </r>
  <r>
    <n v="1956"/>
    <x v="1"/>
    <s v="Kavya"/>
    <x v="3"/>
    <x v="2"/>
    <x v="1"/>
    <n v="3"/>
    <n v="1500"/>
    <n v="0.05"/>
    <n v="4275"/>
    <x v="1"/>
  </r>
  <r>
    <n v="1957"/>
    <x v="183"/>
    <s v="Sneha"/>
    <x v="3"/>
    <x v="6"/>
    <x v="0"/>
    <n v="2"/>
    <n v="12000"/>
    <n v="0.1"/>
    <n v="21600"/>
    <x v="3"/>
  </r>
  <r>
    <n v="1314"/>
    <x v="98"/>
    <s v="Ravi"/>
    <x v="7"/>
    <x v="2"/>
    <x v="1"/>
    <n v="5"/>
    <n v="1500"/>
    <n v="0.1"/>
    <n v="6750"/>
    <x v="7"/>
  </r>
  <r>
    <n v="1959"/>
    <x v="309"/>
    <s v="Pooja"/>
    <x v="7"/>
    <x v="6"/>
    <x v="0"/>
    <n v="1"/>
    <n v="12000"/>
    <n v="0.05"/>
    <n v="11400"/>
    <x v="11"/>
  </r>
  <r>
    <n v="1651"/>
    <x v="161"/>
    <s v="Rahul"/>
    <x v="2"/>
    <x v="2"/>
    <x v="1"/>
    <n v="5"/>
    <n v="1500"/>
    <n v="0.1"/>
    <n v="6750"/>
    <x v="7"/>
  </r>
  <r>
    <n v="1729"/>
    <x v="345"/>
    <s v="Pooja"/>
    <x v="6"/>
    <x v="2"/>
    <x v="1"/>
    <n v="5"/>
    <n v="1500"/>
    <n v="0.1"/>
    <n v="6750"/>
    <x v="5"/>
  </r>
  <r>
    <n v="1830"/>
    <x v="237"/>
    <s v="Manish"/>
    <x v="7"/>
    <x v="2"/>
    <x v="1"/>
    <n v="5"/>
    <n v="1500"/>
    <n v="0.1"/>
    <n v="6750"/>
    <x v="3"/>
  </r>
  <r>
    <n v="1963"/>
    <x v="34"/>
    <s v="Aman"/>
    <x v="5"/>
    <x v="4"/>
    <x v="1"/>
    <n v="3"/>
    <n v="2000"/>
    <n v="0.1"/>
    <n v="5400"/>
    <x v="9"/>
  </r>
  <r>
    <n v="1964"/>
    <x v="66"/>
    <s v="Rohit"/>
    <x v="3"/>
    <x v="7"/>
    <x v="2"/>
    <n v="1"/>
    <n v="7000"/>
    <n v="0.15"/>
    <n v="5950"/>
    <x v="2"/>
  </r>
  <r>
    <n v="1017"/>
    <x v="23"/>
    <s v="Sanjay"/>
    <x v="0"/>
    <x v="2"/>
    <x v="1"/>
    <n v="5"/>
    <n v="1500"/>
    <n v="0.15"/>
    <n v="6375"/>
    <x v="3"/>
  </r>
  <r>
    <n v="1220"/>
    <x v="335"/>
    <s v="Neha"/>
    <x v="6"/>
    <x v="2"/>
    <x v="1"/>
    <n v="5"/>
    <n v="1500"/>
    <n v="0.15"/>
    <n v="6375"/>
    <x v="11"/>
  </r>
  <r>
    <n v="1967"/>
    <x v="149"/>
    <s v="Priya"/>
    <x v="0"/>
    <x v="7"/>
    <x v="2"/>
    <n v="3"/>
    <n v="7000"/>
    <n v="0.1"/>
    <n v="18900"/>
    <x v="8"/>
  </r>
  <r>
    <n v="1968"/>
    <x v="105"/>
    <s v="Pooja"/>
    <x v="2"/>
    <x v="3"/>
    <x v="0"/>
    <n v="4"/>
    <n v="30000"/>
    <n v="0.1"/>
    <n v="108000"/>
    <x v="9"/>
  </r>
  <r>
    <n v="1969"/>
    <x v="293"/>
    <s v="Neha"/>
    <x v="0"/>
    <x v="6"/>
    <x v="0"/>
    <n v="2"/>
    <n v="12000"/>
    <n v="0"/>
    <n v="24000"/>
    <x v="4"/>
  </r>
  <r>
    <n v="1970"/>
    <x v="114"/>
    <s v="Sanjay"/>
    <x v="7"/>
    <x v="3"/>
    <x v="0"/>
    <n v="4"/>
    <n v="30000"/>
    <n v="0.15"/>
    <n v="102000"/>
    <x v="3"/>
  </r>
  <r>
    <n v="1971"/>
    <x v="31"/>
    <s v="Pooja"/>
    <x v="1"/>
    <x v="3"/>
    <x v="0"/>
    <n v="2"/>
    <n v="30000"/>
    <n v="0.1"/>
    <n v="54000"/>
    <x v="8"/>
  </r>
  <r>
    <n v="1972"/>
    <x v="155"/>
    <s v="Simran"/>
    <x v="5"/>
    <x v="1"/>
    <x v="0"/>
    <n v="2"/>
    <n v="50000"/>
    <n v="0.15"/>
    <n v="85000"/>
    <x v="3"/>
  </r>
  <r>
    <n v="1255"/>
    <x v="313"/>
    <s v="Priya"/>
    <x v="7"/>
    <x v="2"/>
    <x v="1"/>
    <n v="5"/>
    <n v="1500"/>
    <n v="0.15"/>
    <n v="6375"/>
    <x v="10"/>
  </r>
  <r>
    <n v="1974"/>
    <x v="71"/>
    <s v="Vikas"/>
    <x v="7"/>
    <x v="7"/>
    <x v="2"/>
    <n v="2"/>
    <n v="7000"/>
    <n v="0.15"/>
    <n v="11900"/>
    <x v="8"/>
  </r>
  <r>
    <n v="1975"/>
    <x v="346"/>
    <s v="Sneha"/>
    <x v="6"/>
    <x v="2"/>
    <x v="1"/>
    <n v="3"/>
    <n v="1500"/>
    <n v="0"/>
    <n v="4500"/>
    <x v="10"/>
  </r>
  <r>
    <n v="1976"/>
    <x v="55"/>
    <s v="Priya"/>
    <x v="5"/>
    <x v="7"/>
    <x v="2"/>
    <n v="3"/>
    <n v="7000"/>
    <n v="0.1"/>
    <n v="18900"/>
    <x v="0"/>
  </r>
  <r>
    <n v="1977"/>
    <x v="310"/>
    <s v="Anjali"/>
    <x v="4"/>
    <x v="2"/>
    <x v="1"/>
    <n v="4"/>
    <n v="1500"/>
    <n v="0.05"/>
    <n v="5700"/>
    <x v="7"/>
  </r>
  <r>
    <n v="1978"/>
    <x v="310"/>
    <s v="Ravi"/>
    <x v="1"/>
    <x v="3"/>
    <x v="0"/>
    <n v="3"/>
    <n v="30000"/>
    <n v="0"/>
    <n v="90000"/>
    <x v="7"/>
  </r>
  <r>
    <n v="1979"/>
    <x v="335"/>
    <s v="Priya"/>
    <x v="7"/>
    <x v="1"/>
    <x v="0"/>
    <n v="4"/>
    <n v="50000"/>
    <n v="0"/>
    <n v="200000"/>
    <x v="11"/>
  </r>
  <r>
    <n v="1980"/>
    <x v="250"/>
    <s v="Anjali"/>
    <x v="3"/>
    <x v="4"/>
    <x v="1"/>
    <n v="2"/>
    <n v="2000"/>
    <n v="0.1"/>
    <n v="3600"/>
    <x v="0"/>
  </r>
  <r>
    <n v="1363"/>
    <x v="319"/>
    <s v="Sneha"/>
    <x v="6"/>
    <x v="2"/>
    <x v="1"/>
    <n v="5"/>
    <n v="1500"/>
    <n v="0.15"/>
    <n v="6375"/>
    <x v="8"/>
  </r>
  <r>
    <n v="1982"/>
    <x v="256"/>
    <s v="Rohit"/>
    <x v="1"/>
    <x v="0"/>
    <x v="0"/>
    <n v="1"/>
    <n v="20000"/>
    <n v="0.05"/>
    <n v="19000"/>
    <x v="3"/>
  </r>
  <r>
    <n v="1983"/>
    <x v="203"/>
    <s v="Neha"/>
    <x v="7"/>
    <x v="3"/>
    <x v="0"/>
    <n v="3"/>
    <n v="30000"/>
    <n v="0.1"/>
    <n v="81000"/>
    <x v="6"/>
  </r>
  <r>
    <n v="1984"/>
    <x v="175"/>
    <s v="Rohit"/>
    <x v="1"/>
    <x v="7"/>
    <x v="2"/>
    <n v="4"/>
    <n v="7000"/>
    <n v="0.1"/>
    <n v="25200"/>
    <x v="0"/>
  </r>
  <r>
    <n v="1985"/>
    <x v="143"/>
    <s v="Rahul"/>
    <x v="3"/>
    <x v="7"/>
    <x v="2"/>
    <n v="1"/>
    <n v="7000"/>
    <n v="0.15"/>
    <n v="5950"/>
    <x v="3"/>
  </r>
  <r>
    <n v="1986"/>
    <x v="27"/>
    <s v="Neha"/>
    <x v="7"/>
    <x v="7"/>
    <x v="2"/>
    <n v="3"/>
    <n v="7000"/>
    <n v="0.05"/>
    <n v="19950"/>
    <x v="6"/>
  </r>
  <r>
    <n v="1520"/>
    <x v="151"/>
    <s v="Neha"/>
    <x v="5"/>
    <x v="2"/>
    <x v="1"/>
    <n v="5"/>
    <n v="1500"/>
    <n v="0.15"/>
    <n v="6375"/>
    <x v="10"/>
  </r>
  <r>
    <n v="1559"/>
    <x v="260"/>
    <s v="Simran"/>
    <x v="2"/>
    <x v="2"/>
    <x v="1"/>
    <n v="5"/>
    <n v="1500"/>
    <n v="0.15"/>
    <n v="6375"/>
    <x v="2"/>
  </r>
  <r>
    <n v="1989"/>
    <x v="202"/>
    <s v="Neha"/>
    <x v="5"/>
    <x v="7"/>
    <x v="2"/>
    <n v="1"/>
    <n v="7000"/>
    <n v="0"/>
    <n v="7000"/>
    <x v="10"/>
  </r>
  <r>
    <n v="1990"/>
    <x v="116"/>
    <s v="Ravi"/>
    <x v="3"/>
    <x v="6"/>
    <x v="0"/>
    <n v="1"/>
    <n v="12000"/>
    <n v="0.15"/>
    <n v="10200"/>
    <x v="9"/>
  </r>
  <r>
    <n v="1991"/>
    <x v="229"/>
    <s v="Rahul"/>
    <x v="6"/>
    <x v="2"/>
    <x v="1"/>
    <n v="3"/>
    <n v="1500"/>
    <n v="0.05"/>
    <n v="4275"/>
    <x v="7"/>
  </r>
  <r>
    <n v="1564"/>
    <x v="299"/>
    <s v="Rahul"/>
    <x v="5"/>
    <x v="2"/>
    <x v="1"/>
    <n v="5"/>
    <n v="1500"/>
    <n v="0.15"/>
    <n v="6375"/>
    <x v="2"/>
  </r>
  <r>
    <n v="1599"/>
    <x v="19"/>
    <s v="Rahul"/>
    <x v="0"/>
    <x v="2"/>
    <x v="1"/>
    <n v="5"/>
    <n v="1500"/>
    <n v="0.15"/>
    <n v="6375"/>
    <x v="9"/>
  </r>
  <r>
    <n v="1723"/>
    <x v="51"/>
    <s v="Aman"/>
    <x v="6"/>
    <x v="2"/>
    <x v="1"/>
    <n v="5"/>
    <n v="1500"/>
    <n v="0.15"/>
    <n v="6375"/>
    <x v="3"/>
  </r>
  <r>
    <n v="1995"/>
    <x v="222"/>
    <s v="Rahul"/>
    <x v="1"/>
    <x v="1"/>
    <x v="0"/>
    <n v="1"/>
    <n v="50000"/>
    <n v="0.1"/>
    <n v="45000"/>
    <x v="11"/>
  </r>
  <r>
    <n v="1996"/>
    <x v="69"/>
    <s v="Aman"/>
    <x v="6"/>
    <x v="6"/>
    <x v="0"/>
    <n v="3"/>
    <n v="12000"/>
    <n v="0.05"/>
    <n v="34200"/>
    <x v="9"/>
  </r>
  <r>
    <n v="1997"/>
    <x v="118"/>
    <s v="Sneha"/>
    <x v="7"/>
    <x v="5"/>
    <x v="2"/>
    <n v="3"/>
    <n v="3000"/>
    <n v="0.15"/>
    <n v="7650"/>
    <x v="10"/>
  </r>
  <r>
    <n v="1998"/>
    <x v="15"/>
    <s v="Aman"/>
    <x v="2"/>
    <x v="0"/>
    <x v="0"/>
    <n v="4"/>
    <n v="20000"/>
    <n v="0.05"/>
    <n v="76000"/>
    <x v="9"/>
  </r>
  <r>
    <n v="1789"/>
    <x v="277"/>
    <s v="Sanjay"/>
    <x v="0"/>
    <x v="2"/>
    <x v="1"/>
    <n v="5"/>
    <n v="1500"/>
    <n v="0.15"/>
    <n v="6375"/>
    <x v="3"/>
  </r>
  <r>
    <n v="2000"/>
    <x v="272"/>
    <s v="Aman"/>
    <x v="4"/>
    <x v="7"/>
    <x v="2"/>
    <n v="4"/>
    <n v="7000"/>
    <n v="0.15"/>
    <n v="23800"/>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12" cacheId="0"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6">
  <location ref="J45:L50" firstHeaderRow="1" firstDataRow="2" firstDataCol="1"/>
  <pivotFields count="10">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items count="9">
        <item x="0"/>
        <item x="5"/>
        <item x="1"/>
        <item x="7"/>
        <item x="6"/>
        <item x="2"/>
        <item x="4"/>
        <item x="3"/>
        <item t="default"/>
      </items>
    </pivotField>
    <pivotField showAll="0">
      <items count="9">
        <item x="6"/>
        <item x="4"/>
        <item x="2"/>
        <item x="1"/>
        <item x="7"/>
        <item x="0"/>
        <item x="5"/>
        <item x="3"/>
        <item t="default"/>
      </items>
    </pivotField>
    <pivotField axis="axisRow" showAll="0" sortType="ascending">
      <items count="4">
        <item x="1"/>
        <item x="0"/>
        <item x="2"/>
        <item t="default"/>
      </items>
      <autoSortScope>
        <pivotArea dataOnly="0" outline="0" fieldPosition="0">
          <references count="1">
            <reference field="4294967294" count="1" selected="0">
              <x v="0"/>
            </reference>
          </references>
        </pivotArea>
      </autoSortScope>
    </pivotField>
    <pivotField dataField="1" showAll="0">
      <items count="6">
        <item x="0"/>
        <item x="2"/>
        <item x="4"/>
        <item x="3"/>
        <item x="1"/>
        <item t="default"/>
      </items>
    </pivotField>
    <pivotField showAll="0"/>
    <pivotField showAll="0"/>
    <pivotField dataField="1" numFmtId="1" showAll="0"/>
  </pivotFields>
  <rowFields count="1">
    <field x="5"/>
  </rowFields>
  <rowItems count="4">
    <i>
      <x/>
    </i>
    <i>
      <x v="2"/>
    </i>
    <i>
      <x v="1"/>
    </i>
    <i t="grand">
      <x/>
    </i>
  </rowItems>
  <colFields count="1">
    <field x="-2"/>
  </colFields>
  <colItems count="2">
    <i>
      <x/>
    </i>
    <i i="1">
      <x v="1"/>
    </i>
  </colItems>
  <dataFields count="2">
    <dataField name="Sum of Sales" fld="9" baseField="0" baseItem="0"/>
    <dataField name="Sum of Quantity" fld="6" baseField="0" baseItem="0"/>
  </dataFields>
  <formats count="1">
    <format dxfId="1">
      <pivotArea outline="0" collapsedLevelsAreSubtotals="1" fieldPosition="0"/>
    </format>
  </formats>
  <chartFormats count="6">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04671B-F442-41F6-B378-F18CCE6A1C1D}" name="PivotTable14"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E72:F85" firstHeaderRow="1" firstDataRow="1" firstDataCol="1"/>
  <pivotFields count="11">
    <pivotField showAll="0"/>
    <pivotField showAll="0"/>
    <pivotField showAll="0"/>
    <pivotField showAll="0">
      <items count="9">
        <item x="0"/>
        <item x="6"/>
        <item x="3"/>
        <item x="7"/>
        <item x="5"/>
        <item x="2"/>
        <item x="1"/>
        <item x="4"/>
        <item t="default"/>
      </items>
    </pivotField>
    <pivotField showAll="0">
      <items count="9">
        <item x="5"/>
        <item x="4"/>
        <item x="2"/>
        <item x="1"/>
        <item x="6"/>
        <item x="0"/>
        <item x="7"/>
        <item x="3"/>
        <item t="default"/>
      </items>
    </pivotField>
    <pivotField showAll="0">
      <items count="4">
        <item x="1"/>
        <item x="0"/>
        <item x="2"/>
        <item t="default"/>
      </items>
    </pivotField>
    <pivotField showAll="0"/>
    <pivotField showAll="0"/>
    <pivotField showAll="0"/>
    <pivotField dataField="1" numFmtId="1" showAll="0"/>
    <pivotField axis="axisRow" showAll="0" sortType="ascending">
      <items count="13">
        <item x="8"/>
        <item x="10"/>
        <item x="9"/>
        <item x="1"/>
        <item x="0"/>
        <item x="4"/>
        <item x="3"/>
        <item x="6"/>
        <item x="11"/>
        <item x="2"/>
        <item x="5"/>
        <item x="7"/>
        <item t="default"/>
      </items>
      <autoSortScope>
        <pivotArea dataOnly="0" outline="0" fieldPosition="0">
          <references count="1">
            <reference field="4294967294" count="1" selected="0">
              <x v="0"/>
            </reference>
          </references>
        </pivotArea>
      </autoSortScope>
    </pivotField>
  </pivotFields>
  <rowFields count="1">
    <field x="10"/>
  </rowFields>
  <rowItems count="13">
    <i>
      <x v="1"/>
    </i>
    <i>
      <x v="9"/>
    </i>
    <i>
      <x v="6"/>
    </i>
    <i>
      <x v="8"/>
    </i>
    <i>
      <x v="7"/>
    </i>
    <i>
      <x v="4"/>
    </i>
    <i>
      <x v="10"/>
    </i>
    <i>
      <x/>
    </i>
    <i>
      <x v="5"/>
    </i>
    <i>
      <x v="3"/>
    </i>
    <i>
      <x v="2"/>
    </i>
    <i>
      <x v="11"/>
    </i>
    <i t="grand">
      <x/>
    </i>
  </rowItems>
  <colItems count="1">
    <i/>
  </colItems>
  <dataFields count="1">
    <dataField name="Sum of Sales" fld="9" baseField="0" baseItem="0"/>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2" cacheId="0"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location ref="H3:I9" firstHeaderRow="1" firstDataRow="1" firstDataCol="1"/>
  <pivotFields count="10">
    <pivotField showAll="0"/>
    <pivotField showAll="0"/>
    <pivotField showAll="0"/>
    <pivotField showAll="0" sortType="ascending">
      <items count="9">
        <item x="0"/>
        <item x="5"/>
        <item x="1"/>
        <item x="7"/>
        <item x="6"/>
        <item x="2"/>
        <item x="4"/>
        <item x="3"/>
        <item t="default"/>
      </items>
      <autoSortScope>
        <pivotArea dataOnly="0" outline="0" fieldPosition="0">
          <references count="1">
            <reference field="4294967294" count="1" selected="0">
              <x v="0"/>
            </reference>
          </references>
        </pivotArea>
      </autoSortScope>
    </pivotField>
    <pivotField axis="axisRow" showAll="0" measureFilter="1">
      <items count="9">
        <item x="6"/>
        <item x="4"/>
        <item x="2"/>
        <item x="1"/>
        <item x="7"/>
        <item x="0"/>
        <item x="5"/>
        <item x="3"/>
        <item t="default"/>
      </items>
    </pivotField>
    <pivotField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numFmtId="1" showAll="0"/>
  </pivotFields>
  <rowFields count="1">
    <field x="4"/>
  </rowFields>
  <rowItems count="6">
    <i>
      <x v="3"/>
    </i>
    <i>
      <x v="4"/>
    </i>
    <i>
      <x v="5"/>
    </i>
    <i>
      <x v="6"/>
    </i>
    <i>
      <x v="7"/>
    </i>
    <i t="grand">
      <x/>
    </i>
  </rowItems>
  <colItems count="1">
    <i/>
  </colItems>
  <dataFields count="1">
    <dataField name="Sum of Sales" fld="9" baseField="0" baseItem="0"/>
  </dataField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10" cacheId="1" applyNumberFormats="0" applyBorderFormats="0" applyFontFormats="0" applyPatternFormats="0" applyAlignmentFormats="0" applyWidthHeightFormats="1" dataCaption="Values" updatedVersion="3" minRefreshableVersion="3" useAutoFormatting="1" itemPrintTitles="1" createdVersion="8" indent="0" outline="1" outlineData="1" multipleFieldFilters="0" chartFormat="6">
  <location ref="D44:E57" firstHeaderRow="1" firstDataRow="1" firstDataCol="1" rowPageCount="1" colPageCount="1"/>
  <pivotFields count="11">
    <pivotField showAll="0"/>
    <pivotField showAll="0"/>
    <pivotField showAll="0">
      <items count="17">
        <item x="15"/>
        <item x="14"/>
        <item x="11"/>
        <item x="4"/>
        <item x="1"/>
        <item x="6"/>
        <item x="8"/>
        <item x="3"/>
        <item x="5"/>
        <item x="9"/>
        <item x="2"/>
        <item x="12"/>
        <item x="0"/>
        <item x="10"/>
        <item x="7"/>
        <item x="13"/>
        <item t="default"/>
      </items>
    </pivotField>
    <pivotField showAll="0">
      <items count="9">
        <item x="0"/>
        <item x="5"/>
        <item x="1"/>
        <item x="7"/>
        <item x="6"/>
        <item x="2"/>
        <item x="4"/>
        <item x="3"/>
        <item t="default"/>
      </items>
    </pivotField>
    <pivotField showAll="0">
      <items count="9">
        <item x="6"/>
        <item x="4"/>
        <item x="2"/>
        <item x="1"/>
        <item x="7"/>
        <item x="0"/>
        <item x="5"/>
        <item x="3"/>
        <item t="default"/>
      </items>
    </pivotField>
    <pivotField axis="axisPage" showAll="0">
      <items count="4">
        <item x="1"/>
        <item x="0"/>
        <item x="2"/>
        <item t="default"/>
      </items>
    </pivotField>
    <pivotField showAll="0"/>
    <pivotField showAll="0"/>
    <pivotField showAll="0"/>
    <pivotField dataField="1" numFmtId="1" showAll="0"/>
    <pivotField axis="axisRow" showAll="0" sortType="descending">
      <items count="13">
        <item x="4"/>
        <item x="9"/>
        <item x="8"/>
        <item x="2"/>
        <item x="0"/>
        <item x="11"/>
        <item x="3"/>
        <item x="6"/>
        <item x="10"/>
        <item x="1"/>
        <item x="5"/>
        <item x="7"/>
        <item t="default"/>
      </items>
      <autoSortScope>
        <pivotArea dataOnly="0" outline="0" fieldPosition="0">
          <references count="1">
            <reference field="4294967294" count="1" selected="0">
              <x v="0"/>
            </reference>
          </references>
        </pivotArea>
      </autoSortScope>
    </pivotField>
  </pivotFields>
  <rowFields count="1">
    <field x="10"/>
  </rowFields>
  <rowItems count="13">
    <i>
      <x v="11"/>
    </i>
    <i>
      <x v="3"/>
    </i>
    <i>
      <x v="2"/>
    </i>
    <i>
      <x v="5"/>
    </i>
    <i>
      <x v="10"/>
    </i>
    <i>
      <x/>
    </i>
    <i>
      <x v="7"/>
    </i>
    <i>
      <x v="4"/>
    </i>
    <i>
      <x v="8"/>
    </i>
    <i>
      <x v="6"/>
    </i>
    <i>
      <x v="9"/>
    </i>
    <i>
      <x v="1"/>
    </i>
    <i t="grand">
      <x/>
    </i>
  </rowItems>
  <colItems count="1">
    <i/>
  </colItems>
  <pageFields count="1">
    <pageField fld="5" item="1" hier="-1"/>
  </pageFields>
  <dataFields count="1">
    <dataField name="Sum of Sales" fld="9" baseField="0"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11" cacheId="0"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3">
  <location ref="G45:H54" firstHeaderRow="1" firstDataRow="1" firstDataCol="1"/>
  <pivotFields count="10">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axis="axisRow" showAll="0">
      <items count="9">
        <item x="0"/>
        <item x="5"/>
        <item x="1"/>
        <item x="7"/>
        <item x="6"/>
        <item x="2"/>
        <item x="4"/>
        <item x="3"/>
        <item t="default"/>
      </items>
    </pivotField>
    <pivotField showAll="0" sortType="descending">
      <items count="9">
        <item x="6"/>
        <item x="4"/>
        <item x="2"/>
        <item x="1"/>
        <item x="7"/>
        <item x="0"/>
        <item x="5"/>
        <item x="3"/>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items count="6">
        <item x="0"/>
        <item x="2"/>
        <item x="4"/>
        <item x="3"/>
        <item x="1"/>
        <item t="default"/>
      </items>
    </pivotField>
    <pivotField showAll="0"/>
    <pivotField showAll="0"/>
    <pivotField dataField="1" numFmtId="1" showAll="0"/>
  </pivotFields>
  <rowFields count="1">
    <field x="3"/>
  </rowFields>
  <rowItems count="9">
    <i>
      <x/>
    </i>
    <i>
      <x v="1"/>
    </i>
    <i>
      <x v="2"/>
    </i>
    <i>
      <x v="3"/>
    </i>
    <i>
      <x v="4"/>
    </i>
    <i>
      <x v="5"/>
    </i>
    <i>
      <x v="6"/>
    </i>
    <i>
      <x v="7"/>
    </i>
    <i t="grand">
      <x/>
    </i>
  </rowItems>
  <colItems count="1">
    <i/>
  </colItems>
  <dataFields count="1">
    <dataField name="Sum of Sales" fld="9" showDataAs="percentOfCol" baseField="0" baseItem="0" numFmtId="10"/>
  </dataFields>
  <formats count="2">
    <format dxfId="3">
      <pivotArea outline="0" collapsedLevelsAreSubtotals="1" fieldPosition="0"/>
    </format>
    <format dxfId="2">
      <pivotArea outline="0" fieldPosition="0">
        <references count="1">
          <reference field="4294967294"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7000000}" name="PivotTable4" cacheId="0"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location ref="A3:B7" firstHeaderRow="1" firstDataRow="1" firstDataCol="1"/>
  <pivotFields count="10">
    <pivotField showAll="0"/>
    <pivotField showAll="0"/>
    <pivotField showAll="0"/>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numFmtId="1" showAll="0"/>
  </pivotFields>
  <rowFields count="1">
    <field x="5"/>
  </rowFields>
  <rowItems count="4">
    <i>
      <x v="1"/>
    </i>
    <i>
      <x v="2"/>
    </i>
    <i>
      <x/>
    </i>
    <i t="grand">
      <x/>
    </i>
  </rowItems>
  <colItems count="1">
    <i/>
  </colItems>
  <dataFields count="1">
    <dataField name="Sum of Sales" fld="9"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9000000}" name="PivotTable6" cacheId="0"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2">
  <location ref="A44:B53" firstHeaderRow="1" firstDataRow="1" firstDataCol="1"/>
  <pivotFields count="10">
    <pivotField showAll="0"/>
    <pivotField showAll="0"/>
    <pivotField showAll="0"/>
    <pivotField showAll="0">
      <items count="9">
        <item x="0"/>
        <item x="5"/>
        <item x="1"/>
        <item x="7"/>
        <item x="6"/>
        <item x="2"/>
        <item x="4"/>
        <item x="3"/>
        <item t="default"/>
      </items>
    </pivotField>
    <pivotField axis="axisRow" showAll="0" sortType="descending">
      <items count="9">
        <item x="6"/>
        <item x="4"/>
        <item x="2"/>
        <item x="1"/>
        <item x="7"/>
        <item x="0"/>
        <item x="5"/>
        <item x="3"/>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items count="6">
        <item x="0"/>
        <item x="2"/>
        <item x="4"/>
        <item x="3"/>
        <item x="1"/>
        <item t="default"/>
      </items>
    </pivotField>
    <pivotField showAll="0"/>
    <pivotField showAll="0"/>
    <pivotField dataField="1" numFmtId="1" showAll="0"/>
  </pivotFields>
  <rowFields count="1">
    <field x="4"/>
  </rowFields>
  <rowItems count="9">
    <i>
      <x v="3"/>
    </i>
    <i>
      <x v="7"/>
    </i>
    <i>
      <x v="5"/>
    </i>
    <i>
      <x v="4"/>
    </i>
    <i>
      <x v="6"/>
    </i>
    <i>
      <x/>
    </i>
    <i>
      <x v="1"/>
    </i>
    <i>
      <x v="2"/>
    </i>
    <i t="grand">
      <x/>
    </i>
  </rowItems>
  <colItems count="1">
    <i/>
  </colItems>
  <dataFields count="1">
    <dataField name="Sum of Sales" fld="9" baseField="0" baseItem="0"/>
  </dataFields>
  <formats count="1">
    <format dxfId="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A91B9A9-10C2-452C-A7DC-D18DA68F421D}" name="PivotTable17"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K72:L76" firstHeaderRow="1" firstDataRow="1" firstDataCol="1"/>
  <pivotFields count="11">
    <pivotField showAll="0"/>
    <pivotField showAll="0"/>
    <pivotField showAll="0"/>
    <pivotField axis="axisRow" showAll="0" measureFilter="1" sortType="descending">
      <items count="9">
        <item x="0"/>
        <item x="6"/>
        <item x="3"/>
        <item x="7"/>
        <item x="5"/>
        <item x="2"/>
        <item x="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numFmtId="1" showAll="0"/>
    <pivotField showAll="0" sortType="ascending">
      <items count="13">
        <item x="8"/>
        <item x="10"/>
        <item x="9"/>
        <item x="1"/>
        <item x="0"/>
        <item x="4"/>
        <item x="3"/>
        <item x="6"/>
        <item x="11"/>
        <item x="2"/>
        <item x="5"/>
        <item x="7"/>
        <item t="default"/>
      </items>
    </pivotField>
  </pivotFields>
  <rowFields count="1">
    <field x="3"/>
  </rowFields>
  <rowItems count="4">
    <i>
      <x/>
    </i>
    <i>
      <x v="4"/>
    </i>
    <i>
      <x v="3"/>
    </i>
    <i t="grand">
      <x/>
    </i>
  </rowItems>
  <colItems count="1">
    <i/>
  </colItems>
  <dataFields count="1">
    <dataField name="Sum of Sales" fld="9" baseField="0" baseItem="0"/>
  </dataFields>
  <pivotTableStyleInfo name="PivotStyleLight16" showRowHeaders="1" showColHeaders="1" showRowStripes="0" showColStripes="0" showLastColumn="1"/>
  <filters count="1">
    <filter fld="3"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DCBC1E9-0016-4965-9747-0BFEB4B0553B}" name="PivotTable15" cacheId="0" applyNumberFormats="0" applyBorderFormats="0" applyFontFormats="0" applyPatternFormats="0" applyAlignmentFormats="0" applyWidthHeightFormats="1" dataCaption="Values" updatedVersion="6" minRefreshableVersion="3" showCalcMbrs="0" useAutoFormatting="1" itemPrintTitles="1" createdVersion="3" indent="0" outline="1" outlineData="1" multipleFieldFilters="0" chartFormat="3">
  <location ref="A72:C75" firstHeaderRow="1" firstDataRow="2" firstDataCol="1"/>
  <pivotFields count="10">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axis="axisRow" showAll="0" measureFilter="1">
      <items count="9">
        <item x="0"/>
        <item x="5"/>
        <item x="1"/>
        <item x="7"/>
        <item x="6"/>
        <item x="2"/>
        <item x="4"/>
        <item x="3"/>
        <item t="default"/>
      </items>
    </pivotField>
    <pivotField axis="axisCol" showAll="0" measureFilter="1">
      <items count="9">
        <item x="6"/>
        <item x="4"/>
        <item x="2"/>
        <item x="1"/>
        <item x="7"/>
        <item x="0"/>
        <item x="5"/>
        <item x="3"/>
        <item t="default"/>
      </items>
    </pivotField>
    <pivotField showAll="0">
      <items count="4">
        <item x="1"/>
        <item x="0"/>
        <item x="2"/>
        <item t="default"/>
      </items>
    </pivotField>
    <pivotField showAll="0">
      <items count="6">
        <item x="0"/>
        <item x="2"/>
        <item x="4"/>
        <item x="3"/>
        <item x="1"/>
        <item t="default"/>
      </items>
    </pivotField>
    <pivotField showAll="0"/>
    <pivotField showAll="0"/>
    <pivotField dataField="1" numFmtId="1" showAll="0"/>
  </pivotFields>
  <rowFields count="1">
    <field x="3"/>
  </rowFields>
  <rowItems count="2">
    <i>
      <x v="6"/>
    </i>
    <i t="grand">
      <x/>
    </i>
  </rowItems>
  <colFields count="1">
    <field x="4"/>
  </colFields>
  <colItems count="2">
    <i>
      <x v="3"/>
    </i>
    <i t="grand">
      <x/>
    </i>
  </colItems>
  <dataFields count="1">
    <dataField name="Sum of Sales" fld="9" baseField="0" baseItem="0"/>
  </dataFields>
  <formats count="1">
    <format dxfId="5">
      <pivotArea outline="0" collapsedLevelsAreSubtotals="1" fieldPosition="0"/>
    </format>
  </formats>
  <pivotTableStyleInfo name="PivotStyleLight16" showRowHeaders="1" showColHeaders="1" showRowStripes="0" showColStripes="0" showLastColumn="1"/>
  <filters count="2">
    <filter fld="4" type="count" evalOrder="-1" id="1" iMeasureFld="0">
      <autoFilter ref="A1">
        <filterColumn colId="0">
          <top10 val="1" filterVal="1"/>
        </filterColumn>
      </autoFilter>
    </filter>
    <filter fld="3" type="count" evalOrder="-1" id="2" iMeasureFld="0">
      <autoFilter ref="A1">
        <filterColumn colId="0">
          <top10 val="1" filterVal="1"/>
        </filterColumn>
      </autoFilter>
    </filter>
  </filters>
  <extLs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000-00000B000000}" name="PivotTable8" cacheId="0"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1">
  <location ref="E27:F36" firstHeaderRow="1" firstDataRow="1" firstDataCol="1" rowPageCount="1" colPageCount="1"/>
  <pivotFields count="10">
    <pivotField showAll="0"/>
    <pivotField showAll="0"/>
    <pivotField showAll="0"/>
    <pivotField axis="axisRow" showAll="0" sortType="descending">
      <items count="9">
        <item x="0"/>
        <item x="5"/>
        <item x="1"/>
        <item x="7"/>
        <item x="6"/>
        <item x="2"/>
        <item x="4"/>
        <item x="3"/>
        <item t="default"/>
      </items>
      <autoSortScope>
        <pivotArea dataOnly="0" outline="0" fieldPosition="0">
          <references count="1">
            <reference field="4294967294" count="1" selected="0">
              <x v="0"/>
            </reference>
          </references>
        </pivotArea>
      </autoSortScope>
    </pivotField>
    <pivotField showAll="0"/>
    <pivotField axis="axisPage"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numFmtId="1" showAll="0"/>
  </pivotFields>
  <rowFields count="1">
    <field x="3"/>
  </rowFields>
  <rowItems count="9">
    <i>
      <x/>
    </i>
    <i>
      <x v="4"/>
    </i>
    <i>
      <x v="1"/>
    </i>
    <i>
      <x v="6"/>
    </i>
    <i>
      <x v="3"/>
    </i>
    <i>
      <x v="2"/>
    </i>
    <i>
      <x v="5"/>
    </i>
    <i>
      <x v="7"/>
    </i>
    <i t="grand">
      <x/>
    </i>
  </rowItems>
  <colItems count="1">
    <i/>
  </colItems>
  <pageFields count="1">
    <pageField fld="5" item="1" hier="-1"/>
  </pageFields>
  <dataFields count="1">
    <dataField name="Sum of Sales"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000-000008000000}" name="PivotTable5" cacheId="0"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4">
  <location ref="H17:I21" firstHeaderRow="1" firstDataRow="1" firstDataCol="1"/>
  <pivotFields count="10">
    <pivotField showAll="0"/>
    <pivotField showAll="0"/>
    <pivotField showAll="0"/>
    <pivotField showAll="0">
      <items count="9">
        <item x="0"/>
        <item x="5"/>
        <item x="1"/>
        <item x="7"/>
        <item x="6"/>
        <item x="2"/>
        <item x="4"/>
        <item x="3"/>
        <item t="default"/>
      </items>
    </pivotField>
    <pivotField showAll="0">
      <items count="9">
        <item x="6"/>
        <item x="4"/>
        <item x="2"/>
        <item x="1"/>
        <item x="7"/>
        <item x="0"/>
        <item x="5"/>
        <item x="3"/>
        <item t="default"/>
      </items>
    </pivotField>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items count="6">
        <item x="0"/>
        <item x="2"/>
        <item x="4"/>
        <item x="3"/>
        <item x="1"/>
        <item t="default"/>
      </items>
    </pivotField>
    <pivotField showAll="0"/>
    <pivotField showAll="0"/>
    <pivotField dataField="1" numFmtId="1" showAll="0"/>
  </pivotFields>
  <rowFields count="1">
    <field x="5"/>
  </rowFields>
  <rowItems count="4">
    <i>
      <x v="1"/>
    </i>
    <i>
      <x v="2"/>
    </i>
    <i>
      <x/>
    </i>
    <i t="grand">
      <x/>
    </i>
  </rowItems>
  <colItems count="1">
    <i/>
  </colItems>
  <dataFields count="1">
    <dataField name="Sum of Sales" fld="9" showDataAs="percentOfTotal" baseField="0" baseItem="0" numFmtId="10"/>
  </dataFields>
  <formats count="2">
    <format dxfId="7">
      <pivotArea outline="0" collapsedLevelsAreSubtotals="1" fieldPosition="0"/>
    </format>
    <format dxfId="6">
      <pivotArea outline="0" fieldPosition="0">
        <references count="1">
          <reference field="4294967294"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13" cacheId="0"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3">
  <location ref="A60:J70" firstHeaderRow="1" firstDataRow="2" firstDataCol="1"/>
  <pivotFields count="10">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axis="axisRow" showAll="0">
      <items count="9">
        <item x="0"/>
        <item x="5"/>
        <item x="1"/>
        <item x="7"/>
        <item x="6"/>
        <item x="2"/>
        <item x="4"/>
        <item x="3"/>
        <item t="default"/>
      </items>
    </pivotField>
    <pivotField axis="axisCol" showAll="0">
      <items count="9">
        <item x="6"/>
        <item x="4"/>
        <item x="2"/>
        <item x="1"/>
        <item x="7"/>
        <item x="0"/>
        <item x="5"/>
        <item x="3"/>
        <item t="default"/>
      </items>
    </pivotField>
    <pivotField showAll="0">
      <items count="4">
        <item x="1"/>
        <item x="0"/>
        <item x="2"/>
        <item t="default"/>
      </items>
    </pivotField>
    <pivotField showAll="0">
      <items count="6">
        <item x="0"/>
        <item x="2"/>
        <item x="4"/>
        <item x="3"/>
        <item x="1"/>
        <item t="default"/>
      </items>
    </pivotField>
    <pivotField showAll="0"/>
    <pivotField showAll="0"/>
    <pivotField dataField="1" numFmtId="1" showAll="0"/>
  </pivotFields>
  <rowFields count="1">
    <field x="3"/>
  </rowFields>
  <rowItems count="9">
    <i>
      <x/>
    </i>
    <i>
      <x v="1"/>
    </i>
    <i>
      <x v="2"/>
    </i>
    <i>
      <x v="3"/>
    </i>
    <i>
      <x v="4"/>
    </i>
    <i>
      <x v="5"/>
    </i>
    <i>
      <x v="6"/>
    </i>
    <i>
      <x v="7"/>
    </i>
    <i t="grand">
      <x/>
    </i>
  </rowItems>
  <colFields count="1">
    <field x="4"/>
  </colFields>
  <colItems count="9">
    <i>
      <x/>
    </i>
    <i>
      <x v="1"/>
    </i>
    <i>
      <x v="2"/>
    </i>
    <i>
      <x v="3"/>
    </i>
    <i>
      <x v="4"/>
    </i>
    <i>
      <x v="5"/>
    </i>
    <i>
      <x v="6"/>
    </i>
    <i>
      <x v="7"/>
    </i>
    <i t="grand">
      <x/>
    </i>
  </colItems>
  <dataFields count="1">
    <dataField name="Sum of Sales" fld="9" baseField="0" baseItem="0"/>
  </dataFields>
  <formats count="1">
    <format dxfId="8">
      <pivotArea outline="0" collapsedLevelsAreSubtotals="1"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000-00000C000000}" name="PivotTable9" cacheId="0"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location ref="H25:I42" firstHeaderRow="1" firstDataRow="1" firstDataCol="1"/>
  <pivotFields count="10">
    <pivotField showAll="0"/>
    <pivotField showAll="0"/>
    <pivotField axis="axisRow" showAll="0" sortType="descending">
      <items count="17">
        <item x="15"/>
        <item x="14"/>
        <item x="11"/>
        <item x="4"/>
        <item x="1"/>
        <item x="6"/>
        <item x="8"/>
        <item x="3"/>
        <item x="5"/>
        <item x="9"/>
        <item x="2"/>
        <item x="12"/>
        <item x="0"/>
        <item x="10"/>
        <item x="7"/>
        <item x="13"/>
        <item t="default"/>
      </items>
      <autoSortScope>
        <pivotArea dataOnly="0" outline="0" fieldPosition="0">
          <references count="1">
            <reference field="4294967294" count="1" selected="0">
              <x v="0"/>
            </reference>
          </references>
        </pivotArea>
      </autoSortScope>
    </pivotField>
    <pivotField showAll="0" sortType="ascending">
      <items count="9">
        <item x="0"/>
        <item x="5"/>
        <item x="1"/>
        <item x="7"/>
        <item x="6"/>
        <item x="2"/>
        <item x="4"/>
        <item x="3"/>
        <item t="default"/>
      </items>
      <autoSortScope>
        <pivotArea dataOnly="0" outline="0" fieldPosition="0">
          <references count="1">
            <reference field="4294967294" count="1" selected="0">
              <x v="0"/>
            </reference>
          </references>
        </pivotArea>
      </autoSortScope>
    </pivotField>
    <pivotField showAll="0"/>
    <pivotField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numFmtId="1" showAll="0"/>
  </pivotFields>
  <rowFields count="1">
    <field x="2"/>
  </rowFields>
  <rowItems count="17">
    <i>
      <x v="15"/>
    </i>
    <i>
      <x v="1"/>
    </i>
    <i>
      <x v="14"/>
    </i>
    <i>
      <x v="4"/>
    </i>
    <i>
      <x v="6"/>
    </i>
    <i>
      <x v="8"/>
    </i>
    <i>
      <x v="5"/>
    </i>
    <i>
      <x v="3"/>
    </i>
    <i>
      <x v="13"/>
    </i>
    <i>
      <x/>
    </i>
    <i>
      <x v="12"/>
    </i>
    <i>
      <x v="2"/>
    </i>
    <i>
      <x v="10"/>
    </i>
    <i>
      <x v="11"/>
    </i>
    <i>
      <x v="7"/>
    </i>
    <i>
      <x v="9"/>
    </i>
    <i t="grand">
      <x/>
    </i>
  </rowItems>
  <colItems count="1">
    <i/>
  </colItems>
  <dataFields count="1">
    <dataField name="Sum of Sales" fld="9"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000-000006000000}" name="PivotTable3" cacheId="0"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location ref="E17:F21" firstHeaderRow="1" firstDataRow="1" firstDataCol="1"/>
  <pivotFields count="10">
    <pivotField showAll="0"/>
    <pivotField showAll="0"/>
    <pivotField showAll="0"/>
    <pivotField showAll="0">
      <items count="9">
        <item x="0"/>
        <item x="5"/>
        <item x="1"/>
        <item x="7"/>
        <item x="6"/>
        <item x="2"/>
        <item x="4"/>
        <item x="3"/>
        <item t="default"/>
      </items>
    </pivotField>
    <pivotField showAll="0">
      <items count="9">
        <item x="6"/>
        <item x="4"/>
        <item x="2"/>
        <item x="1"/>
        <item x="7"/>
        <item x="0"/>
        <item x="5"/>
        <item x="3"/>
        <item t="default"/>
      </items>
    </pivotField>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items count="6">
        <item x="0"/>
        <item x="2"/>
        <item x="4"/>
        <item x="3"/>
        <item x="1"/>
        <item t="default"/>
      </items>
    </pivotField>
    <pivotField showAll="0"/>
    <pivotField showAll="0"/>
    <pivotField dataField="1" numFmtId="1" showAll="0"/>
  </pivotFields>
  <rowFields count="1">
    <field x="5"/>
  </rowFields>
  <rowItems count="4">
    <i>
      <x v="1"/>
    </i>
    <i>
      <x v="2"/>
    </i>
    <i>
      <x/>
    </i>
    <i t="grand">
      <x/>
    </i>
  </rowItems>
  <colItems count="1">
    <i/>
  </colItems>
  <dataFields count="1">
    <dataField name="Average of Sales" fld="9" subtotal="average" baseField="0" baseItem="0" numFmtId="1"/>
  </dataFields>
  <formats count="1">
    <format dxfId="9">
      <pivotArea outline="0" collapsedLevelsAreSubtotals="1"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location ref="E3:F12" firstHeaderRow="1" firstDataRow="1" firstDataCol="1"/>
  <pivotFields count="10">
    <pivotField showAll="0"/>
    <pivotField showAll="0"/>
    <pivotField showAll="0"/>
    <pivotField axis="axisRow" showAll="0" sortType="ascending">
      <items count="9">
        <item x="0"/>
        <item x="5"/>
        <item x="1"/>
        <item x="7"/>
        <item x="6"/>
        <item x="2"/>
        <item x="4"/>
        <item x="3"/>
        <item t="default"/>
      </items>
      <autoSortScope>
        <pivotArea dataOnly="0" outline="0" fieldPosition="0">
          <references count="1">
            <reference field="4294967294" count="1" selected="0">
              <x v="0"/>
            </reference>
          </references>
        </pivotArea>
      </autoSortScope>
    </pivotField>
    <pivotField showAll="0"/>
    <pivotField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numFmtId="1" showAll="0"/>
  </pivotFields>
  <rowFields count="1">
    <field x="3"/>
  </rowFields>
  <rowItems count="9">
    <i>
      <x v="2"/>
    </i>
    <i>
      <x v="7"/>
    </i>
    <i>
      <x v="5"/>
    </i>
    <i>
      <x v="6"/>
    </i>
    <i>
      <x v="1"/>
    </i>
    <i>
      <x v="3"/>
    </i>
    <i>
      <x v="4"/>
    </i>
    <i>
      <x/>
    </i>
    <i t="grand">
      <x/>
    </i>
  </rowItems>
  <colItems count="1">
    <i/>
  </colItems>
  <dataFields count="1">
    <dataField name="Sum of Sales" fld="9"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9184C8F-6CFC-43E1-ADE6-6550554EC50E}" name="PivotTable16"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H72:I85" firstHeaderRow="1" firstDataRow="1" firstDataCol="1"/>
  <pivotFields count="11">
    <pivotField showAll="0"/>
    <pivotField showAll="0"/>
    <pivotField showAll="0"/>
    <pivotField showAll="0"/>
    <pivotField showAll="0"/>
    <pivotField showAll="0"/>
    <pivotField showAll="0"/>
    <pivotField showAll="0"/>
    <pivotField showAll="0"/>
    <pivotField dataField="1" numFmtId="1" showAll="0"/>
    <pivotField axis="axisRow" showAll="0" sortType="ascending">
      <items count="13">
        <item x="8"/>
        <item x="10"/>
        <item x="9"/>
        <item x="1"/>
        <item x="0"/>
        <item x="4"/>
        <item x="3"/>
        <item x="6"/>
        <item x="11"/>
        <item x="2"/>
        <item x="5"/>
        <item x="7"/>
        <item t="default"/>
      </items>
    </pivotField>
  </pivotFields>
  <rowFields count="1">
    <field x="10"/>
  </rowFields>
  <rowItems count="13">
    <i>
      <x/>
    </i>
    <i>
      <x v="1"/>
    </i>
    <i>
      <x v="2"/>
    </i>
    <i>
      <x v="3"/>
    </i>
    <i>
      <x v="4"/>
    </i>
    <i>
      <x v="5"/>
    </i>
    <i>
      <x v="6"/>
    </i>
    <i>
      <x v="7"/>
    </i>
    <i>
      <x v="8"/>
    </i>
    <i>
      <x v="9"/>
    </i>
    <i>
      <x v="10"/>
    </i>
    <i>
      <x v="11"/>
    </i>
    <i t="grand">
      <x/>
    </i>
  </rowItems>
  <colItems count="1">
    <i/>
  </colItems>
  <dataFields count="1">
    <dataField name="Sum of Sales" fld="9" showDataAs="percentDiff" baseField="10" baseItem="1048828" numFmtId="10"/>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0000-00000A000000}" name="PivotTable7" cacheId="0"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1">
  <location ref="A13:B17" firstHeaderRow="1" firstDataRow="1" firstDataCol="1"/>
  <pivotFields count="10">
    <pivotField showAll="0"/>
    <pivotField showAll="0"/>
    <pivotField showAll="0"/>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numFmtId="1" showAll="0"/>
  </pivotFields>
  <rowFields count="1">
    <field x="5"/>
  </rowFields>
  <rowItems count="4">
    <i>
      <x v="1"/>
    </i>
    <i>
      <x/>
    </i>
    <i>
      <x v="2"/>
    </i>
    <i t="grand">
      <x/>
    </i>
  </rowItems>
  <colItems count="1">
    <i/>
  </colItems>
  <dataFields count="1">
    <dataField name="Sum of Quantity"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D594085-25A4-488D-B19F-B121C47EED9D}" name="Category_Wise_Sales" cacheId="2" applyNumberFormats="0" applyBorderFormats="0" applyFontFormats="0" applyPatternFormats="0" applyAlignmentFormats="0" applyWidthHeightFormats="1" dataCaption="Values" updatedVersion="6" minRefreshableVersion="3" showDrill="0" showDataTips="0" useAutoFormatting="1" itemPrintTitles="1" createdVersion="6" indent="0" outline="1" outlineData="1" multipleFieldFilters="0" chartFormat="15">
  <location ref="H2:I6" firstHeaderRow="1" firstDataRow="1" firstDataCol="1"/>
  <pivotFields count="11">
    <pivotField showAll="0"/>
    <pivotField showAll="0"/>
    <pivotField showAll="0"/>
    <pivotField showAll="0">
      <items count="9">
        <item x="0"/>
        <item x="6"/>
        <item x="3"/>
        <item x="7"/>
        <item x="5"/>
        <item x="2"/>
        <item x="1"/>
        <item x="4"/>
        <item t="default"/>
      </items>
    </pivotField>
    <pivotField showAll="0" sortType="descending">
      <items count="9">
        <item x="5"/>
        <item x="4"/>
        <item x="2"/>
        <item x="1"/>
        <item x="6"/>
        <item x="0"/>
        <item x="7"/>
        <item x="3"/>
        <item t="default"/>
      </items>
      <autoSortScope>
        <pivotArea dataOnly="0" outline="0" fieldPosition="0">
          <references count="1">
            <reference field="4294967294" count="1" selected="0">
              <x v="0"/>
            </reference>
          </references>
        </pivotArea>
      </autoSortScope>
    </pivotField>
    <pivotField axis="axisRow" showAll="0">
      <items count="4">
        <item x="1"/>
        <item x="0"/>
        <item x="2"/>
        <item t="default"/>
      </items>
    </pivotField>
    <pivotField showAll="0"/>
    <pivotField showAll="0"/>
    <pivotField showAll="0"/>
    <pivotField dataField="1" numFmtId="1" showAll="0"/>
    <pivotField showAll="0">
      <items count="13">
        <item x="8"/>
        <item x="10"/>
        <item x="9"/>
        <item x="1"/>
        <item x="0"/>
        <item x="4"/>
        <item x="3"/>
        <item x="6"/>
        <item x="11"/>
        <item x="2"/>
        <item x="5"/>
        <item x="7"/>
        <item t="default"/>
      </items>
    </pivotField>
  </pivotFields>
  <rowFields count="1">
    <field x="5"/>
  </rowFields>
  <rowItems count="4">
    <i>
      <x/>
    </i>
    <i>
      <x v="1"/>
    </i>
    <i>
      <x v="2"/>
    </i>
    <i t="grand">
      <x/>
    </i>
  </rowItems>
  <colItems count="1">
    <i/>
  </colItems>
  <dataFields count="1">
    <dataField name="Sum of Sales" fld="9" baseField="0" baseItem="0"/>
  </dataFields>
  <chartFormats count="13">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3" format="2">
      <pivotArea type="data" outline="0" fieldPosition="0">
        <references count="2">
          <reference field="4294967294" count="1" selected="0">
            <x v="0"/>
          </reference>
          <reference field="5" count="1" selected="0">
            <x v="0"/>
          </reference>
        </references>
      </pivotArea>
    </chartFormat>
    <chartFormat chart="13" format="3">
      <pivotArea type="data" outline="0" fieldPosition="0">
        <references count="2">
          <reference field="4294967294" count="1" selected="0">
            <x v="0"/>
          </reference>
          <reference field="5" count="1" selected="0">
            <x v="1"/>
          </reference>
        </references>
      </pivotArea>
    </chartFormat>
    <chartFormat chart="13" format="4">
      <pivotArea type="data" outline="0" fieldPosition="0">
        <references count="2">
          <reference field="4294967294" count="1" selected="0">
            <x v="0"/>
          </reference>
          <reference field="5" count="1" selected="0">
            <x v="2"/>
          </reference>
        </references>
      </pivotArea>
    </chartFormat>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5" count="1" selected="0">
            <x v="0"/>
          </reference>
        </references>
      </pivotArea>
    </chartFormat>
    <chartFormat chart="14" format="7">
      <pivotArea type="data" outline="0" fieldPosition="0">
        <references count="2">
          <reference field="4294967294" count="1" selected="0">
            <x v="0"/>
          </reference>
          <reference field="5" count="1" selected="0">
            <x v="1"/>
          </reference>
        </references>
      </pivotArea>
    </chartFormat>
    <chartFormat chart="14"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8A079FA-39B1-4B83-859A-38ED84F0492A}" name="Product_Wise_Sales" cacheId="2" applyNumberFormats="0" applyBorderFormats="0" applyFontFormats="0" applyPatternFormats="0" applyAlignmentFormats="0" applyWidthHeightFormats="1" dataCaption="Values" updatedVersion="6" minRefreshableVersion="3" showDrill="0" showDataTips="0" useAutoFormatting="1" itemPrintTitles="1" createdVersion="6" indent="0" outline="1" outlineData="1" multipleFieldFilters="0" chartFormat="12">
  <location ref="E2:F11" firstHeaderRow="1" firstDataRow="1" firstDataCol="1"/>
  <pivotFields count="11">
    <pivotField showAll="0"/>
    <pivotField showAll="0"/>
    <pivotField showAll="0"/>
    <pivotField showAll="0">
      <items count="9">
        <item x="0"/>
        <item x="6"/>
        <item x="3"/>
        <item x="7"/>
        <item x="5"/>
        <item x="2"/>
        <item x="1"/>
        <item x="4"/>
        <item t="default"/>
      </items>
    </pivotField>
    <pivotField axis="axisRow" showAll="0" sortType="descending">
      <items count="9">
        <item x="5"/>
        <item x="4"/>
        <item x="2"/>
        <item x="1"/>
        <item x="6"/>
        <item x="0"/>
        <item x="7"/>
        <item x="3"/>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pivotField showAll="0"/>
    <pivotField showAll="0"/>
    <pivotField dataField="1" numFmtId="1" showAll="0"/>
    <pivotField showAll="0">
      <items count="13">
        <item x="8"/>
        <item x="10"/>
        <item x="9"/>
        <item x="1"/>
        <item x="0"/>
        <item x="4"/>
        <item x="3"/>
        <item x="6"/>
        <item x="11"/>
        <item x="2"/>
        <item x="5"/>
        <item x="7"/>
        <item t="default"/>
      </items>
    </pivotField>
  </pivotFields>
  <rowFields count="1">
    <field x="4"/>
  </rowFields>
  <rowItems count="9">
    <i>
      <x v="3"/>
    </i>
    <i>
      <x v="7"/>
    </i>
    <i>
      <x v="5"/>
    </i>
    <i>
      <x v="4"/>
    </i>
    <i>
      <x v="6"/>
    </i>
    <i>
      <x/>
    </i>
    <i>
      <x v="1"/>
    </i>
    <i>
      <x v="2"/>
    </i>
    <i t="grand">
      <x/>
    </i>
  </rowItems>
  <colItems count="1">
    <i/>
  </colItems>
  <dataFields count="1">
    <dataField name="Sum of Sales" fld="9" baseField="0" baseItem="0"/>
  </dataFields>
  <chartFormats count="4">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ADD2304-EFE6-46A3-B9DF-B98046DFCC3B}" name="Month_Wise_Sales"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B2:C15" firstHeaderRow="1" firstDataRow="1" firstDataCol="1"/>
  <pivotFields count="11">
    <pivotField showAll="0"/>
    <pivotField showAll="0"/>
    <pivotField showAll="0"/>
    <pivotField showAll="0">
      <items count="9">
        <item x="0"/>
        <item x="6"/>
        <item x="3"/>
        <item x="7"/>
        <item x="5"/>
        <item x="2"/>
        <item x="1"/>
        <item x="4"/>
        <item t="default"/>
      </items>
    </pivotField>
    <pivotField showAll="0">
      <items count="9">
        <item x="5"/>
        <item x="4"/>
        <item x="2"/>
        <item x="1"/>
        <item x="6"/>
        <item x="0"/>
        <item x="7"/>
        <item x="3"/>
        <item t="default"/>
      </items>
    </pivotField>
    <pivotField showAll="0">
      <items count="4">
        <item x="1"/>
        <item x="0"/>
        <item x="2"/>
        <item t="default"/>
      </items>
    </pivotField>
    <pivotField showAll="0"/>
    <pivotField showAll="0"/>
    <pivotField showAll="0"/>
    <pivotField dataField="1" numFmtId="1" showAll="0"/>
    <pivotField axis="axisRow" showAll="0">
      <items count="13">
        <item x="8"/>
        <item x="10"/>
        <item x="9"/>
        <item x="1"/>
        <item x="0"/>
        <item x="4"/>
        <item x="3"/>
        <item x="6"/>
        <item x="11"/>
        <item x="2"/>
        <item x="5"/>
        <item x="7"/>
        <item t="default"/>
      </items>
    </pivotField>
  </pivotFields>
  <rowFields count="1">
    <field x="10"/>
  </rowFields>
  <rowItems count="13">
    <i>
      <x/>
    </i>
    <i>
      <x v="1"/>
    </i>
    <i>
      <x v="2"/>
    </i>
    <i>
      <x v="3"/>
    </i>
    <i>
      <x v="4"/>
    </i>
    <i>
      <x v="5"/>
    </i>
    <i>
      <x v="6"/>
    </i>
    <i>
      <x v="7"/>
    </i>
    <i>
      <x v="8"/>
    </i>
    <i>
      <x v="9"/>
    </i>
    <i>
      <x v="10"/>
    </i>
    <i>
      <x v="11"/>
    </i>
    <i t="grand">
      <x/>
    </i>
  </rowItems>
  <colItems count="1">
    <i/>
  </colItems>
  <dataFields count="1">
    <dataField name="Sum of Sales" fld="9"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31F3E49-22B0-403C-B433-AD7E48252544}" sourceName="Month">
  <pivotTables>
    <pivotTable tabId="7" name="Month_Wise_Sales"/>
    <pivotTable tabId="7" name="Product_Wise_Sales"/>
    <pivotTable tabId="7" name="Category_Wise_Sales"/>
  </pivotTables>
  <data>
    <tabular pivotCacheId="335150320">
      <items count="12">
        <i x="8" s="1"/>
        <i x="10" s="1"/>
        <i x="9" s="1"/>
        <i x="1" s="1"/>
        <i x="0" s="1"/>
        <i x="4" s="1"/>
        <i x="3" s="1"/>
        <i x="6" s="1"/>
        <i x="11" s="1"/>
        <i x="2" s="1"/>
        <i x="5"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543A9B4-0834-4FCD-AB21-3B34D997A6E5}" sourceName="City">
  <pivotTables>
    <pivotTable tabId="7" name="Month_Wise_Sales"/>
    <pivotTable tabId="7" name="Product_Wise_Sales"/>
    <pivotTable tabId="7" name="Category_Wise_Sales"/>
  </pivotTables>
  <data>
    <tabular pivotCacheId="335150320">
      <items count="8">
        <i x="0" s="1"/>
        <i x="6" s="1"/>
        <i x="3" s="1"/>
        <i x="7" s="1"/>
        <i x="5"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8C0EA69-0ADC-43AE-9EDA-134AA6348BA5}" sourceName="Category">
  <pivotTables>
    <pivotTable tabId="7" name="Month_Wise_Sales"/>
    <pivotTable tabId="7" name="Product_Wise_Sales"/>
    <pivotTable tabId="7" name="Category_Wise_Sales"/>
  </pivotTables>
  <data>
    <tabular pivotCacheId="335150320">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0EF1B67-9961-43D5-8F06-D7D9A8257254}" sourceName="Product">
  <pivotTables>
    <pivotTable tabId="7" name="Month_Wise_Sales"/>
    <pivotTable tabId="7" name="Product_Wise_Sales"/>
    <pivotTable tabId="7" name="Category_Wise_Sales"/>
  </pivotTables>
  <data>
    <tabular pivotCacheId="335150320">
      <items count="8">
        <i x="5" s="1"/>
        <i x="4" s="1"/>
        <i x="2" s="1"/>
        <i x="1" s="1"/>
        <i x="6" s="1"/>
        <i x="0" s="1"/>
        <i x="7"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76FCBBAA-2018-4576-BA50-BB9DCE109079}" cache="Slicer_Month" caption="Month" columnCount="3" showCaption="0" rowHeight="241300"/>
  <slicer name="City" xr10:uid="{85F1F9A6-81AE-4242-9DC4-290305E9EA9C}" cache="Slicer_City" caption="City" columnCount="3" showCaption="0" rowHeight="241300"/>
  <slicer name="Category" xr10:uid="{17102793-4AD3-4D0A-AA57-1E7EAFF631E5}" cache="Slicer_Category" caption="Category" showCaption="0" rowHeight="241300"/>
  <slicer name="Product" xr10:uid="{74FE25D9-613B-4596-B8FD-BF31F4325A94}" cache="Slicer_Product" caption="Product" columnCount="3" showCap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A1:L1001" totalsRowShown="0" headerRowDxfId="22" dataDxfId="21">
  <sortState ref="A3:J1000">
    <sortCondition descending="1" ref="J1:J1001"/>
  </sortState>
  <tableColumns count="12">
    <tableColumn id="1" xr3:uid="{00000000-0010-0000-0000-000001000000}" name="OrderID" dataDxfId="20"/>
    <tableColumn id="2" xr3:uid="{00000000-0010-0000-0000-000002000000}" name="OrderDate" dataDxfId="19"/>
    <tableColumn id="3" xr3:uid="{00000000-0010-0000-0000-000003000000}" name="CustomerName" dataDxfId="18"/>
    <tableColumn id="4" xr3:uid="{00000000-0010-0000-0000-000004000000}" name="City" dataDxfId="17"/>
    <tableColumn id="5" xr3:uid="{00000000-0010-0000-0000-000005000000}" name="Product" dataDxfId="16"/>
    <tableColumn id="6" xr3:uid="{00000000-0010-0000-0000-000006000000}" name="Category" dataDxfId="15"/>
    <tableColumn id="7" xr3:uid="{00000000-0010-0000-0000-000007000000}" name="Quantity" dataDxfId="14"/>
    <tableColumn id="8" xr3:uid="{00000000-0010-0000-0000-000008000000}" name="Price" dataDxfId="13"/>
    <tableColumn id="9" xr3:uid="{00000000-0010-0000-0000-000009000000}" name="Discount" dataDxfId="12"/>
    <tableColumn id="10" xr3:uid="{00000000-0010-0000-0000-00000A000000}" name="Sales" dataDxfId="11">
      <calculatedColumnFormula>H2*(1-I2)*G2</calculatedColumnFormula>
    </tableColumn>
    <tableColumn id="11" xr3:uid="{781DFAF3-027E-4E21-8937-1532001721DE}" name="Month" dataDxfId="10">
      <calculatedColumnFormula>TEXT(Table4[OrderDate], "mmmm")</calculatedColumnFormula>
    </tableColumn>
    <tableColumn id="12" xr3:uid="{9C7A7316-F62C-4E76-A16B-7CFE09475A26}" name="Distinct Count" dataDxfId="0">
      <calculatedColumnFormula>IF(C2 = "", 0, IF(COUNTIF($C$2:C2, C2) = 1, 1, 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20.xml"/><Relationship Id="rId2" Type="http://schemas.openxmlformats.org/officeDocument/2006/relationships/pivotTable" Target="../pivotTables/pivotTable19.xml"/><Relationship Id="rId1" Type="http://schemas.openxmlformats.org/officeDocument/2006/relationships/pivotTable" Target="../pivotTables/pivotTable18.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1"/>
  <sheetViews>
    <sheetView topLeftCell="A982" zoomScale="110" zoomScaleNormal="110" workbookViewId="0">
      <selection activeCell="L3" sqref="L3"/>
    </sheetView>
  </sheetViews>
  <sheetFormatPr defaultRowHeight="15" x14ac:dyDescent="0.25"/>
  <cols>
    <col min="1" max="1" width="10.140625" customWidth="1"/>
    <col min="2" max="2" width="12.42578125" customWidth="1"/>
    <col min="3" max="3" width="17" customWidth="1"/>
    <col min="4" max="4" width="10.5703125" bestFit="1" customWidth="1"/>
    <col min="5" max="5" width="12.140625" bestFit="1" customWidth="1"/>
    <col min="6" max="6" width="11.28515625" bestFit="1" customWidth="1"/>
    <col min="7" max="7" width="10.85546875" customWidth="1"/>
    <col min="8" max="8" width="7.5703125" customWidth="1"/>
    <col min="9" max="9" width="10.85546875" customWidth="1"/>
    <col min="10" max="10" width="9.5703125" bestFit="1" customWidth="1"/>
    <col min="11" max="11" width="10.5703125" bestFit="1" customWidth="1"/>
    <col min="12" max="12" width="13.7109375" bestFit="1" customWidth="1"/>
    <col min="13" max="13" width="10.5703125" bestFit="1" customWidth="1"/>
    <col min="14" max="14" width="27.42578125" bestFit="1" customWidth="1"/>
    <col min="15" max="15" width="9.7109375" bestFit="1" customWidth="1"/>
    <col min="16" max="16" width="12.28515625" bestFit="1" customWidth="1"/>
    <col min="17" max="17" width="12.140625" bestFit="1" customWidth="1"/>
    <col min="18" max="18" width="10.5703125" bestFit="1" customWidth="1"/>
    <col min="19" max="19" width="19" bestFit="1" customWidth="1"/>
    <col min="20" max="20" width="12.140625" bestFit="1" customWidth="1"/>
    <col min="21" max="21" width="9.42578125" bestFit="1" customWidth="1"/>
  </cols>
  <sheetData>
    <row r="1" spans="1:18" x14ac:dyDescent="0.25">
      <c r="A1" s="1" t="s">
        <v>0</v>
      </c>
      <c r="B1" s="22" t="s">
        <v>1</v>
      </c>
      <c r="C1" s="1" t="s">
        <v>2</v>
      </c>
      <c r="D1" s="1" t="s">
        <v>3</v>
      </c>
      <c r="E1" s="1" t="s">
        <v>4</v>
      </c>
      <c r="F1" s="1" t="s">
        <v>5</v>
      </c>
      <c r="G1" s="1" t="s">
        <v>6</v>
      </c>
      <c r="H1" s="1" t="s">
        <v>7</v>
      </c>
      <c r="I1" s="1" t="s">
        <v>8</v>
      </c>
      <c r="J1" s="1" t="s">
        <v>9</v>
      </c>
      <c r="K1" s="31" t="s">
        <v>424</v>
      </c>
      <c r="L1" s="31" t="s">
        <v>425</v>
      </c>
      <c r="N1" s="36" t="s">
        <v>399</v>
      </c>
      <c r="O1" s="36"/>
      <c r="Q1" s="15" t="s">
        <v>4</v>
      </c>
      <c r="R1" s="15" t="s">
        <v>6</v>
      </c>
    </row>
    <row r="2" spans="1:18" x14ac:dyDescent="0.25">
      <c r="A2" s="2">
        <v>1001</v>
      </c>
      <c r="B2" s="21" t="s">
        <v>10</v>
      </c>
      <c r="C2" s="2" t="s">
        <v>357</v>
      </c>
      <c r="D2" s="2" t="s">
        <v>373</v>
      </c>
      <c r="E2" s="2" t="s">
        <v>381</v>
      </c>
      <c r="F2" s="2" t="s">
        <v>389</v>
      </c>
      <c r="G2" s="2">
        <v>1</v>
      </c>
      <c r="H2" s="2">
        <v>20000</v>
      </c>
      <c r="I2" s="2">
        <v>0.1</v>
      </c>
      <c r="J2" s="3">
        <f t="shared" ref="J2:J65" si="0">H2*(1-I2)*G2</f>
        <v>18000</v>
      </c>
      <c r="K2" s="2" t="str">
        <f>TEXT(Table4[OrderDate], "mmmm")</f>
        <v>May</v>
      </c>
      <c r="L2" s="2">
        <f>IF(C2 = "", 0, IF(COUNTIF($C$2:C2, C2) = 1, 1, 0))</f>
        <v>1</v>
      </c>
      <c r="N2" s="10" t="s">
        <v>389</v>
      </c>
      <c r="O2" s="10">
        <v>40606300</v>
      </c>
      <c r="Q2" s="15" t="s">
        <v>381</v>
      </c>
      <c r="R2" s="15">
        <v>427</v>
      </c>
    </row>
    <row r="3" spans="1:18" x14ac:dyDescent="0.25">
      <c r="A3" s="2">
        <v>1043</v>
      </c>
      <c r="B3" s="21" t="s">
        <v>47</v>
      </c>
      <c r="C3" s="2" t="s">
        <v>365</v>
      </c>
      <c r="D3" s="2" t="s">
        <v>377</v>
      </c>
      <c r="E3" s="2" t="s">
        <v>382</v>
      </c>
      <c r="F3" s="2" t="s">
        <v>389</v>
      </c>
      <c r="G3" s="2">
        <v>5</v>
      </c>
      <c r="H3" s="2">
        <v>50000</v>
      </c>
      <c r="I3" s="2">
        <v>0</v>
      </c>
      <c r="J3" s="3">
        <f t="shared" si="0"/>
        <v>250000</v>
      </c>
      <c r="K3" s="2" t="str">
        <f>TEXT(Table4[OrderDate], "mmmm")</f>
        <v>April</v>
      </c>
      <c r="L3" s="2">
        <f>IF(C3 = "", 0, IF(COUNTIF($C$2:C3, C3) = 1, 1, 0))</f>
        <v>1</v>
      </c>
      <c r="N3" s="10" t="s">
        <v>391</v>
      </c>
      <c r="O3" s="10">
        <v>3117100</v>
      </c>
      <c r="Q3" s="15" t="s">
        <v>383</v>
      </c>
      <c r="R3" s="15">
        <v>410</v>
      </c>
    </row>
    <row r="4" spans="1:18" x14ac:dyDescent="0.25">
      <c r="A4" s="2">
        <v>1003</v>
      </c>
      <c r="B4" s="21" t="s">
        <v>12</v>
      </c>
      <c r="C4" s="2" t="s">
        <v>359</v>
      </c>
      <c r="D4" s="2" t="s">
        <v>375</v>
      </c>
      <c r="E4" s="2" t="s">
        <v>382</v>
      </c>
      <c r="F4" s="2" t="s">
        <v>389</v>
      </c>
      <c r="G4" s="2">
        <v>1</v>
      </c>
      <c r="H4" s="2">
        <v>50000</v>
      </c>
      <c r="I4" s="2">
        <v>0.05</v>
      </c>
      <c r="J4" s="3">
        <f t="shared" si="0"/>
        <v>47500</v>
      </c>
      <c r="K4" s="2" t="str">
        <f>TEXT(Table4[OrderDate], "mmmm")</f>
        <v>April</v>
      </c>
      <c r="L4" s="2">
        <f>IF(C4 = "", 0, IF(COUNTIF($C$2:C4, C4) = 1, 1, 0))</f>
        <v>1</v>
      </c>
      <c r="N4" s="10" t="s">
        <v>390</v>
      </c>
      <c r="O4" s="10">
        <v>1229575</v>
      </c>
      <c r="Q4" s="15" t="s">
        <v>384</v>
      </c>
      <c r="R4" s="15">
        <v>404</v>
      </c>
    </row>
    <row r="5" spans="1:18" x14ac:dyDescent="0.25">
      <c r="A5" s="2">
        <v>1004</v>
      </c>
      <c r="B5" s="21" t="s">
        <v>13</v>
      </c>
      <c r="C5" s="2" t="s">
        <v>360</v>
      </c>
      <c r="D5" s="2" t="s">
        <v>374</v>
      </c>
      <c r="E5" s="2" t="s">
        <v>383</v>
      </c>
      <c r="F5" s="2" t="s">
        <v>390</v>
      </c>
      <c r="G5" s="2">
        <v>2</v>
      </c>
      <c r="H5" s="2">
        <v>1500</v>
      </c>
      <c r="I5" s="2">
        <v>0.15</v>
      </c>
      <c r="J5" s="3">
        <f t="shared" si="0"/>
        <v>2550</v>
      </c>
      <c r="K5" s="2" t="str">
        <f>TEXT(Table4[OrderDate], "mmmm")</f>
        <v>October</v>
      </c>
      <c r="L5" s="2">
        <f>IF(C5 = "", 0, IF(COUNTIF($C$2:C5, C5) = 1, 1, 0))</f>
        <v>1</v>
      </c>
      <c r="Q5" s="15" t="s">
        <v>382</v>
      </c>
      <c r="R5" s="15">
        <v>378</v>
      </c>
    </row>
    <row r="6" spans="1:18" x14ac:dyDescent="0.25">
      <c r="A6" s="2">
        <v>1005</v>
      </c>
      <c r="B6" s="21" t="s">
        <v>14</v>
      </c>
      <c r="C6" s="2" t="s">
        <v>361</v>
      </c>
      <c r="D6" s="2" t="s">
        <v>375</v>
      </c>
      <c r="E6" s="2" t="s">
        <v>384</v>
      </c>
      <c r="F6" s="2" t="s">
        <v>389</v>
      </c>
      <c r="G6" s="2">
        <v>4</v>
      </c>
      <c r="H6" s="2">
        <v>30000</v>
      </c>
      <c r="I6" s="2">
        <v>0.1</v>
      </c>
      <c r="J6" s="3">
        <f t="shared" si="0"/>
        <v>108000</v>
      </c>
      <c r="K6" s="2" t="str">
        <f>TEXT(Table4[OrderDate], "mmmm")</f>
        <v>May</v>
      </c>
      <c r="L6" s="2">
        <f>IF(C6 = "", 0, IF(COUNTIF($C$2:C6, C6) = 1, 1, 0))</f>
        <v>1</v>
      </c>
      <c r="N6" s="36" t="s">
        <v>398</v>
      </c>
      <c r="O6" s="36"/>
      <c r="Q6" s="15" t="s">
        <v>388</v>
      </c>
      <c r="R6" s="15">
        <v>370</v>
      </c>
    </row>
    <row r="7" spans="1:18" x14ac:dyDescent="0.25">
      <c r="A7" s="2">
        <v>1006</v>
      </c>
      <c r="B7" s="21" t="s">
        <v>15</v>
      </c>
      <c r="C7" s="2" t="s">
        <v>362</v>
      </c>
      <c r="D7" s="2" t="s">
        <v>376</v>
      </c>
      <c r="E7" s="2" t="s">
        <v>385</v>
      </c>
      <c r="F7" s="2" t="s">
        <v>390</v>
      </c>
      <c r="G7" s="2">
        <v>1</v>
      </c>
      <c r="H7" s="2">
        <v>2000</v>
      </c>
      <c r="I7" s="2">
        <v>0</v>
      </c>
      <c r="J7" s="3">
        <f t="shared" si="0"/>
        <v>2000</v>
      </c>
      <c r="K7" s="2" t="str">
        <f>TEXT(Table4[OrderDate], "mmmm")</f>
        <v>July</v>
      </c>
      <c r="L7" s="2">
        <f>IF(C7 = "", 0, IF(COUNTIF($C$2:C7, C7) = 1, 1, 0))</f>
        <v>1</v>
      </c>
      <c r="N7" s="10" t="s">
        <v>389</v>
      </c>
      <c r="O7" s="10">
        <f>SUMIF(F2:F1001, N7, J2:J1001)</f>
        <v>40606300</v>
      </c>
      <c r="Q7" s="15" t="s">
        <v>385</v>
      </c>
      <c r="R7" s="15">
        <v>359</v>
      </c>
    </row>
    <row r="8" spans="1:18" x14ac:dyDescent="0.25">
      <c r="A8" s="2">
        <v>1094</v>
      </c>
      <c r="B8" s="21" t="s">
        <v>92</v>
      </c>
      <c r="C8" s="2" t="s">
        <v>357</v>
      </c>
      <c r="D8" s="2" t="s">
        <v>377</v>
      </c>
      <c r="E8" s="2" t="s">
        <v>382</v>
      </c>
      <c r="F8" s="2" t="s">
        <v>389</v>
      </c>
      <c r="G8" s="2">
        <v>5</v>
      </c>
      <c r="H8" s="2">
        <v>50000</v>
      </c>
      <c r="I8" s="2">
        <v>0</v>
      </c>
      <c r="J8" s="3">
        <f t="shared" si="0"/>
        <v>250000</v>
      </c>
      <c r="K8" s="2" t="str">
        <f>TEXT(Table4[OrderDate], "mmmm")</f>
        <v>June</v>
      </c>
      <c r="L8" s="2">
        <f>IF(C8 = "", 0, IF(COUNTIF($C$2:C8, C8) = 1, 1, 0))</f>
        <v>0</v>
      </c>
      <c r="Q8" s="15" t="s">
        <v>387</v>
      </c>
      <c r="R8" s="15">
        <v>357</v>
      </c>
    </row>
    <row r="9" spans="1:18" x14ac:dyDescent="0.25">
      <c r="A9" s="2">
        <v>1008</v>
      </c>
      <c r="B9" s="21" t="s">
        <v>17</v>
      </c>
      <c r="C9" s="2" t="s">
        <v>364</v>
      </c>
      <c r="D9" s="2" t="s">
        <v>375</v>
      </c>
      <c r="E9" s="2" t="s">
        <v>383</v>
      </c>
      <c r="F9" s="2" t="s">
        <v>390</v>
      </c>
      <c r="G9" s="2">
        <v>1</v>
      </c>
      <c r="H9" s="2">
        <v>1500</v>
      </c>
      <c r="I9" s="2">
        <v>0.1</v>
      </c>
      <c r="J9" s="3">
        <f t="shared" si="0"/>
        <v>1350</v>
      </c>
      <c r="K9" s="2" t="str">
        <f>TEXT(Table4[OrderDate], "mmmm")</f>
        <v>November</v>
      </c>
      <c r="L9" s="2">
        <f>IF(C9 = "", 0, IF(COUNTIF($C$2:C9, C9) = 1, 1, 0))</f>
        <v>1</v>
      </c>
      <c r="N9" s="10" t="s">
        <v>394</v>
      </c>
      <c r="O9" s="11">
        <f>AVERAGE(J2:J1001)</f>
        <v>44952.974999999999</v>
      </c>
      <c r="Q9" s="15" t="s">
        <v>386</v>
      </c>
      <c r="R9" s="15">
        <v>329</v>
      </c>
    </row>
    <row r="10" spans="1:18" x14ac:dyDescent="0.25">
      <c r="A10" s="2">
        <v>1009</v>
      </c>
      <c r="B10" s="21" t="s">
        <v>18</v>
      </c>
      <c r="C10" s="2" t="s">
        <v>365</v>
      </c>
      <c r="D10" s="2" t="s">
        <v>375</v>
      </c>
      <c r="E10" s="2" t="s">
        <v>381</v>
      </c>
      <c r="F10" s="2" t="s">
        <v>389</v>
      </c>
      <c r="G10" s="2">
        <v>1</v>
      </c>
      <c r="H10" s="2">
        <v>20000</v>
      </c>
      <c r="I10" s="2">
        <v>0.05</v>
      </c>
      <c r="J10" s="3">
        <f t="shared" si="0"/>
        <v>19000</v>
      </c>
      <c r="K10" s="2" t="str">
        <f>TEXT(Table4[OrderDate], "mmmm")</f>
        <v>May</v>
      </c>
      <c r="L10" s="2">
        <f>IF(C10 = "", 0, IF(COUNTIF($C$2:C10, C10) = 1, 1, 0))</f>
        <v>0</v>
      </c>
    </row>
    <row r="11" spans="1:18" x14ac:dyDescent="0.25">
      <c r="A11" s="2">
        <v>1010</v>
      </c>
      <c r="B11" s="21" t="s">
        <v>19</v>
      </c>
      <c r="C11" s="2" t="s">
        <v>364</v>
      </c>
      <c r="D11" s="2" t="s">
        <v>373</v>
      </c>
      <c r="E11" s="2" t="s">
        <v>381</v>
      </c>
      <c r="F11" s="2" t="s">
        <v>389</v>
      </c>
      <c r="G11" s="2">
        <v>4</v>
      </c>
      <c r="H11" s="2">
        <v>20000</v>
      </c>
      <c r="I11" s="2">
        <v>0.1</v>
      </c>
      <c r="J11" s="3">
        <f t="shared" si="0"/>
        <v>72000</v>
      </c>
      <c r="K11" s="2" t="str">
        <f>TEXT(Table4[OrderDate], "mmmm")</f>
        <v>August</v>
      </c>
      <c r="L11" s="2">
        <f>IF(C11 = "", 0, IF(COUNTIF($C$2:C11, C11) = 1, 1, 0))</f>
        <v>0</v>
      </c>
      <c r="N11" s="10" t="s">
        <v>404</v>
      </c>
      <c r="O11" s="10" t="str">
        <f>ROUND(AVERAGE(Table4[Discount])*100, 2)&amp;"%"</f>
        <v>7.72%</v>
      </c>
      <c r="Q11" s="17" t="s">
        <v>4</v>
      </c>
      <c r="R11" s="17" t="s">
        <v>9</v>
      </c>
    </row>
    <row r="12" spans="1:18" x14ac:dyDescent="0.25">
      <c r="A12" s="2">
        <v>1011</v>
      </c>
      <c r="B12" s="21" t="s">
        <v>20</v>
      </c>
      <c r="C12" s="2" t="s">
        <v>360</v>
      </c>
      <c r="D12" s="2" t="s">
        <v>377</v>
      </c>
      <c r="E12" s="2" t="s">
        <v>385</v>
      </c>
      <c r="F12" s="2" t="s">
        <v>390</v>
      </c>
      <c r="G12" s="2">
        <v>3</v>
      </c>
      <c r="H12" s="2">
        <v>2000</v>
      </c>
      <c r="I12" s="2">
        <v>0.05</v>
      </c>
      <c r="J12" s="3">
        <f t="shared" si="0"/>
        <v>5700</v>
      </c>
      <c r="K12" s="2" t="str">
        <f>TEXT(Table4[OrderDate], "mmmm")</f>
        <v>December</v>
      </c>
      <c r="L12" s="2">
        <f>IF(C12 = "", 0, IF(COUNTIF($C$2:C12, C12) = 1, 1, 0))</f>
        <v>0</v>
      </c>
      <c r="Q12" s="17" t="s">
        <v>381</v>
      </c>
      <c r="R12" s="17">
        <f>SUMIF(Table4[Product], Q12, Table4[Sales])</f>
        <v>7932000</v>
      </c>
    </row>
    <row r="13" spans="1:18" x14ac:dyDescent="0.25">
      <c r="A13" s="2">
        <v>1123</v>
      </c>
      <c r="B13" s="21" t="s">
        <v>109</v>
      </c>
      <c r="C13" s="2" t="s">
        <v>371</v>
      </c>
      <c r="D13" s="2" t="s">
        <v>379</v>
      </c>
      <c r="E13" s="2" t="s">
        <v>382</v>
      </c>
      <c r="F13" s="2" t="s">
        <v>389</v>
      </c>
      <c r="G13" s="2">
        <v>5</v>
      </c>
      <c r="H13" s="2">
        <v>50000</v>
      </c>
      <c r="I13" s="2">
        <v>0</v>
      </c>
      <c r="J13" s="3">
        <f t="shared" si="0"/>
        <v>250000</v>
      </c>
      <c r="K13" s="2" t="str">
        <f>TEXT(Table4[OrderDate], "mmmm")</f>
        <v>April</v>
      </c>
      <c r="L13" s="2">
        <f>IF(C13 = "", 0, IF(COUNTIF($C$2:C13, C13) = 1, 1, 0))</f>
        <v>1</v>
      </c>
      <c r="Q13" s="17" t="s">
        <v>383</v>
      </c>
      <c r="R13" s="17">
        <f>SUMIF(Table4[Product], Q13, Table4[Sales])</f>
        <v>569475</v>
      </c>
    </row>
    <row r="14" spans="1:18" x14ac:dyDescent="0.25">
      <c r="A14" s="2">
        <v>1646</v>
      </c>
      <c r="B14" s="21" t="s">
        <v>98</v>
      </c>
      <c r="C14" s="2" t="s">
        <v>363</v>
      </c>
      <c r="D14" s="2" t="s">
        <v>373</v>
      </c>
      <c r="E14" s="2" t="s">
        <v>382</v>
      </c>
      <c r="F14" s="2" t="s">
        <v>389</v>
      </c>
      <c r="G14" s="2">
        <v>5</v>
      </c>
      <c r="H14" s="2">
        <v>50000</v>
      </c>
      <c r="I14" s="2">
        <v>0</v>
      </c>
      <c r="J14" s="3">
        <f t="shared" si="0"/>
        <v>250000</v>
      </c>
      <c r="K14" s="2" t="str">
        <f>TEXT(Table4[OrderDate], "mmmm")</f>
        <v>August</v>
      </c>
      <c r="L14" s="2">
        <f>IF(C14 = "", 0, IF(COUNTIF($C$2:C14, C14) = 1, 1, 0))</f>
        <v>1</v>
      </c>
      <c r="N14" s="10" t="s">
        <v>382</v>
      </c>
      <c r="O14" s="10">
        <f>SUMIF(Table4[Product], N14, Table4[Sales])</f>
        <v>17447500</v>
      </c>
      <c r="Q14" s="17" t="s">
        <v>384</v>
      </c>
      <c r="R14" s="17">
        <f>SUMIF(Table4[Product], Q14, Table4[Sales])</f>
        <v>11145000</v>
      </c>
    </row>
    <row r="15" spans="1:18" x14ac:dyDescent="0.25">
      <c r="A15" s="2">
        <v>1014</v>
      </c>
      <c r="B15" s="21" t="s">
        <v>23</v>
      </c>
      <c r="C15" s="2" t="s">
        <v>360</v>
      </c>
      <c r="D15" s="2" t="s">
        <v>377</v>
      </c>
      <c r="E15" s="2" t="s">
        <v>387</v>
      </c>
      <c r="F15" s="2" t="s">
        <v>391</v>
      </c>
      <c r="G15" s="2">
        <v>1</v>
      </c>
      <c r="H15" s="2">
        <v>3000</v>
      </c>
      <c r="I15" s="2">
        <v>0.1</v>
      </c>
      <c r="J15" s="3">
        <f t="shared" si="0"/>
        <v>2700</v>
      </c>
      <c r="K15" s="2" t="str">
        <f>TEXT(Table4[OrderDate], "mmmm")</f>
        <v>July</v>
      </c>
      <c r="L15" s="2">
        <f>IF(C15 = "", 0, IF(COUNTIF($C$2:C15, C15) = 1, 1, 0))</f>
        <v>0</v>
      </c>
      <c r="Q15" s="17" t="s">
        <v>382</v>
      </c>
      <c r="R15" s="17">
        <f>SUMIF(Table4[Product], Q15, Table4[Sales])</f>
        <v>17447500</v>
      </c>
    </row>
    <row r="16" spans="1:18" x14ac:dyDescent="0.25">
      <c r="A16" s="2">
        <v>1655</v>
      </c>
      <c r="B16" s="21" t="s">
        <v>76</v>
      </c>
      <c r="C16" s="2" t="s">
        <v>368</v>
      </c>
      <c r="D16" s="2" t="s">
        <v>373</v>
      </c>
      <c r="E16" s="2" t="s">
        <v>382</v>
      </c>
      <c r="F16" s="2" t="s">
        <v>389</v>
      </c>
      <c r="G16" s="2">
        <v>5</v>
      </c>
      <c r="H16" s="2">
        <v>50000</v>
      </c>
      <c r="I16" s="2">
        <v>0</v>
      </c>
      <c r="J16" s="3">
        <f t="shared" si="0"/>
        <v>250000</v>
      </c>
      <c r="K16" s="2" t="str">
        <f>TEXT(Table4[OrderDate], "mmmm")</f>
        <v>January</v>
      </c>
      <c r="L16" s="2">
        <f>IF(C16 = "", 0, IF(COUNTIF($C$2:C16, C16) = 1, 1, 0))</f>
        <v>1</v>
      </c>
      <c r="N16" s="12" t="s">
        <v>401</v>
      </c>
      <c r="O16" s="12" t="s">
        <v>402</v>
      </c>
      <c r="Q16" s="17" t="s">
        <v>388</v>
      </c>
      <c r="R16" s="17">
        <f>SUMIF(Table4[Product], Q16, Table4[Sales])</f>
        <v>4081800</v>
      </c>
    </row>
    <row r="17" spans="1:19" x14ac:dyDescent="0.25">
      <c r="A17" s="2">
        <v>1016</v>
      </c>
      <c r="B17" s="21" t="s">
        <v>25</v>
      </c>
      <c r="C17" s="2" t="s">
        <v>357</v>
      </c>
      <c r="D17" s="2" t="s">
        <v>379</v>
      </c>
      <c r="E17" s="2" t="s">
        <v>388</v>
      </c>
      <c r="F17" s="2" t="s">
        <v>389</v>
      </c>
      <c r="G17" s="2">
        <v>2</v>
      </c>
      <c r="H17" s="2">
        <v>12000</v>
      </c>
      <c r="I17" s="2">
        <v>0.1</v>
      </c>
      <c r="J17" s="3">
        <f t="shared" si="0"/>
        <v>21600</v>
      </c>
      <c r="K17" s="2" t="str">
        <f>TEXT(Table4[OrderDate], "mmmm")</f>
        <v>March</v>
      </c>
      <c r="L17" s="2">
        <f>IF(C17 = "", 0, IF(COUNTIF($C$2:C17, C17) = 1, 1, 0))</f>
        <v>0</v>
      </c>
      <c r="N17" s="12" t="s">
        <v>390</v>
      </c>
      <c r="O17" s="13">
        <f>AVERAGEIF(Table4[Category], N17, Table4[Sales])</f>
        <v>4821.8627450980393</v>
      </c>
      <c r="Q17" s="17" t="s">
        <v>385</v>
      </c>
      <c r="R17" s="17">
        <f>SUMIF(Table4[Product], Q17, Table4[Sales])</f>
        <v>660100</v>
      </c>
    </row>
    <row r="18" spans="1:19" x14ac:dyDescent="0.25">
      <c r="A18" s="2">
        <v>1926</v>
      </c>
      <c r="B18" s="21" t="s">
        <v>276</v>
      </c>
      <c r="C18" s="2" t="s">
        <v>364</v>
      </c>
      <c r="D18" s="2" t="s">
        <v>376</v>
      </c>
      <c r="E18" s="2" t="s">
        <v>382</v>
      </c>
      <c r="F18" s="2" t="s">
        <v>389</v>
      </c>
      <c r="G18" s="2">
        <v>5</v>
      </c>
      <c r="H18" s="2">
        <v>50000</v>
      </c>
      <c r="I18" s="2">
        <v>0</v>
      </c>
      <c r="J18" s="3">
        <f t="shared" si="0"/>
        <v>250000</v>
      </c>
      <c r="K18" s="2" t="str">
        <f>TEXT(Table4[OrderDate], "mmmm")</f>
        <v>April</v>
      </c>
      <c r="L18" s="2">
        <f>IF(C18 = "", 0, IF(COUNTIF($C$2:C18, C18) = 1, 1, 0))</f>
        <v>0</v>
      </c>
      <c r="N18" s="12" t="s">
        <v>389</v>
      </c>
      <c r="O18" s="13">
        <f>AVERAGEIF(Table4[Category], N18, Table4[Sales])</f>
        <v>79154.580896686166</v>
      </c>
      <c r="Q18" s="17" t="s">
        <v>387</v>
      </c>
      <c r="R18" s="17">
        <f>SUMIF(Table4[Product], Q18, Table4[Sales])</f>
        <v>988050</v>
      </c>
    </row>
    <row r="19" spans="1:19" x14ac:dyDescent="0.25">
      <c r="A19" s="2">
        <v>1018</v>
      </c>
      <c r="B19" s="21" t="s">
        <v>27</v>
      </c>
      <c r="C19" s="2" t="s">
        <v>361</v>
      </c>
      <c r="D19" s="2" t="s">
        <v>373</v>
      </c>
      <c r="E19" s="2" t="s">
        <v>388</v>
      </c>
      <c r="F19" s="2" t="s">
        <v>389</v>
      </c>
      <c r="G19" s="2">
        <v>1</v>
      </c>
      <c r="H19" s="2">
        <v>12000</v>
      </c>
      <c r="I19" s="2">
        <v>0</v>
      </c>
      <c r="J19" s="3">
        <f t="shared" si="0"/>
        <v>12000</v>
      </c>
      <c r="K19" s="2" t="str">
        <f>TEXT(Table4[OrderDate], "mmmm")</f>
        <v>February</v>
      </c>
      <c r="L19" s="2">
        <f>IF(C19 = "", 0, IF(COUNTIF($C$2:C19, C19) = 1, 1, 0))</f>
        <v>0</v>
      </c>
      <c r="N19" s="12" t="s">
        <v>391</v>
      </c>
      <c r="O19" s="13">
        <f>AVERAGEIF(Table4[Category], N19, Table4[Sales])</f>
        <v>13435.775862068966</v>
      </c>
      <c r="Q19" s="17" t="s">
        <v>386</v>
      </c>
      <c r="R19" s="17">
        <f>SUMIF(Table4[Product], Q19, Table4[Sales])</f>
        <v>2129050</v>
      </c>
    </row>
    <row r="20" spans="1:19" x14ac:dyDescent="0.25">
      <c r="A20" s="2">
        <v>1981</v>
      </c>
      <c r="B20" s="21" t="s">
        <v>292</v>
      </c>
      <c r="C20" s="2" t="s">
        <v>371</v>
      </c>
      <c r="D20" s="2" t="s">
        <v>377</v>
      </c>
      <c r="E20" s="2" t="s">
        <v>382</v>
      </c>
      <c r="F20" s="2" t="s">
        <v>389</v>
      </c>
      <c r="G20" s="2">
        <v>5</v>
      </c>
      <c r="H20" s="2">
        <v>50000</v>
      </c>
      <c r="I20" s="2">
        <v>0</v>
      </c>
      <c r="J20" s="3">
        <f t="shared" si="0"/>
        <v>250000</v>
      </c>
      <c r="K20" s="2" t="str">
        <f>TEXT(Table4[OrderDate], "mmmm")</f>
        <v>January</v>
      </c>
      <c r="L20" s="2">
        <f>IF(C20 = "", 0, IF(COUNTIF($C$2:C20, C20) = 1, 1, 0))</f>
        <v>0</v>
      </c>
    </row>
    <row r="21" spans="1:19" x14ac:dyDescent="0.25">
      <c r="A21" s="2">
        <v>1256</v>
      </c>
      <c r="B21" s="21" t="s">
        <v>169</v>
      </c>
      <c r="C21" s="2" t="s">
        <v>370</v>
      </c>
      <c r="D21" s="2" t="s">
        <v>378</v>
      </c>
      <c r="E21" s="2" t="s">
        <v>382</v>
      </c>
      <c r="F21" s="2" t="s">
        <v>389</v>
      </c>
      <c r="G21" s="2">
        <v>5</v>
      </c>
      <c r="H21" s="2">
        <v>50000</v>
      </c>
      <c r="I21" s="2">
        <v>0.05</v>
      </c>
      <c r="J21" s="3">
        <f t="shared" si="0"/>
        <v>237500</v>
      </c>
      <c r="K21" s="2" t="str">
        <f>TEXT(Table4[OrderDate], "mmmm")</f>
        <v>March</v>
      </c>
      <c r="L21" s="2">
        <f>IF(C21 = "", 0, IF(COUNTIF($C$2:C21, C21) = 1, 1, 0))</f>
        <v>1</v>
      </c>
      <c r="N21" s="17" t="s">
        <v>5</v>
      </c>
      <c r="O21" s="17" t="s">
        <v>9</v>
      </c>
      <c r="P21" s="17" t="s">
        <v>403</v>
      </c>
      <c r="R21" s="10" t="s">
        <v>3</v>
      </c>
      <c r="S21" s="16" t="s">
        <v>406</v>
      </c>
    </row>
    <row r="22" spans="1:19" x14ac:dyDescent="0.25">
      <c r="A22" s="2">
        <v>1021</v>
      </c>
      <c r="B22" s="21" t="s">
        <v>30</v>
      </c>
      <c r="C22" s="2" t="s">
        <v>369</v>
      </c>
      <c r="D22" s="2" t="s">
        <v>380</v>
      </c>
      <c r="E22" s="2" t="s">
        <v>385</v>
      </c>
      <c r="F22" s="2" t="s">
        <v>390</v>
      </c>
      <c r="G22" s="2">
        <v>1</v>
      </c>
      <c r="H22" s="2">
        <v>2000</v>
      </c>
      <c r="I22" s="2">
        <v>0.1</v>
      </c>
      <c r="J22" s="3">
        <f t="shared" si="0"/>
        <v>1800</v>
      </c>
      <c r="K22" s="2" t="str">
        <f>TEXT(Table4[OrderDate], "mmmm")</f>
        <v>August</v>
      </c>
      <c r="L22" s="2">
        <f>IF(C22 = "", 0, IF(COUNTIF($C$2:C22, C22) = 1, 1, 0))</f>
        <v>1</v>
      </c>
      <c r="N22" s="17" t="s">
        <v>389</v>
      </c>
      <c r="O22" s="17">
        <v>40606300</v>
      </c>
      <c r="P22" s="14">
        <f>O22/SUM($O$22:$O$24)*100</f>
        <v>90.330617717737255</v>
      </c>
      <c r="R22" s="10" t="s">
        <v>377</v>
      </c>
      <c r="S22" s="10">
        <f>SUMIF(Table4[City], R22, Table4[Sales])</f>
        <v>6073200</v>
      </c>
    </row>
    <row r="23" spans="1:19" x14ac:dyDescent="0.25">
      <c r="A23" s="2">
        <v>1022</v>
      </c>
      <c r="B23" s="21" t="s">
        <v>31</v>
      </c>
      <c r="C23" s="2" t="s">
        <v>362</v>
      </c>
      <c r="D23" s="2" t="s">
        <v>379</v>
      </c>
      <c r="E23" s="2" t="s">
        <v>382</v>
      </c>
      <c r="F23" s="2" t="s">
        <v>389</v>
      </c>
      <c r="G23" s="2">
        <v>3</v>
      </c>
      <c r="H23" s="2">
        <v>50000</v>
      </c>
      <c r="I23" s="2">
        <v>0.05</v>
      </c>
      <c r="J23" s="3">
        <f t="shared" si="0"/>
        <v>142500</v>
      </c>
      <c r="K23" s="2" t="str">
        <f>TEXT(Table4[OrderDate], "mmmm")</f>
        <v>September</v>
      </c>
      <c r="L23" s="2">
        <f>IF(C23 = "", 0, IF(COUNTIF($C$2:C23, C23) = 1, 1, 0))</f>
        <v>0</v>
      </c>
      <c r="N23" s="17" t="s">
        <v>391</v>
      </c>
      <c r="O23" s="17">
        <v>3117100</v>
      </c>
      <c r="P23" s="14">
        <f t="shared" ref="P23:P24" si="1">O23/SUM($O$22:$O$24)*100</f>
        <v>6.9341350600266169</v>
      </c>
      <c r="R23" s="10" t="s">
        <v>379</v>
      </c>
      <c r="S23" s="10">
        <f>SUMIF(Table4[City], R23, Table4[Sales])</f>
        <v>6282050</v>
      </c>
    </row>
    <row r="24" spans="1:19" x14ac:dyDescent="0.25">
      <c r="A24" s="2">
        <v>1023</v>
      </c>
      <c r="B24" s="21" t="s">
        <v>32</v>
      </c>
      <c r="C24" s="2" t="s">
        <v>359</v>
      </c>
      <c r="D24" s="2" t="s">
        <v>376</v>
      </c>
      <c r="E24" s="2" t="s">
        <v>387</v>
      </c>
      <c r="F24" s="2" t="s">
        <v>391</v>
      </c>
      <c r="G24" s="2">
        <v>2</v>
      </c>
      <c r="H24" s="2">
        <v>3000</v>
      </c>
      <c r="I24" s="2">
        <v>0.1</v>
      </c>
      <c r="J24" s="3">
        <f t="shared" si="0"/>
        <v>5400</v>
      </c>
      <c r="K24" s="2" t="str">
        <f>TEXT(Table4[OrderDate], "mmmm")</f>
        <v>March</v>
      </c>
      <c r="L24" s="2">
        <f>IF(C24 = "", 0, IF(COUNTIF($C$2:C24, C24) = 1, 1, 0))</f>
        <v>0</v>
      </c>
      <c r="N24" s="17" t="s">
        <v>390</v>
      </c>
      <c r="O24" s="17">
        <v>1229575</v>
      </c>
      <c r="P24" s="14">
        <f t="shared" si="1"/>
        <v>2.7352472222361257</v>
      </c>
      <c r="R24" s="10" t="s">
        <v>373</v>
      </c>
      <c r="S24" s="10">
        <f>SUMIF(Table4[City], R24, Table4[Sales])</f>
        <v>6509800</v>
      </c>
    </row>
    <row r="25" spans="1:19" x14ac:dyDescent="0.25">
      <c r="A25" s="2">
        <v>1024</v>
      </c>
      <c r="B25" s="21" t="s">
        <v>26</v>
      </c>
      <c r="C25" s="2" t="s">
        <v>370</v>
      </c>
      <c r="D25" s="2" t="s">
        <v>375</v>
      </c>
      <c r="E25" s="2" t="s">
        <v>388</v>
      </c>
      <c r="F25" s="2" t="s">
        <v>389</v>
      </c>
      <c r="G25" s="2">
        <v>1</v>
      </c>
      <c r="H25" s="2">
        <v>12000</v>
      </c>
      <c r="I25" s="2">
        <v>0</v>
      </c>
      <c r="J25" s="3">
        <f t="shared" si="0"/>
        <v>12000</v>
      </c>
      <c r="K25" s="2" t="str">
        <f>TEXT(Table4[OrderDate], "mmmm")</f>
        <v>July</v>
      </c>
      <c r="L25" s="2">
        <f>IF(C25 = "", 0, IF(COUNTIF($C$2:C25, C25) = 1, 1, 0))</f>
        <v>0</v>
      </c>
      <c r="R25" s="10" t="s">
        <v>376</v>
      </c>
      <c r="S25" s="10">
        <f>SUMIF(Table4[City], R25, Table4[Sales])</f>
        <v>4577350</v>
      </c>
    </row>
    <row r="26" spans="1:19" x14ac:dyDescent="0.25">
      <c r="A26" s="2">
        <v>1025</v>
      </c>
      <c r="B26" s="21" t="s">
        <v>33</v>
      </c>
      <c r="C26" s="2" t="s">
        <v>367</v>
      </c>
      <c r="D26" s="2" t="s">
        <v>377</v>
      </c>
      <c r="E26" s="2" t="s">
        <v>382</v>
      </c>
      <c r="F26" s="2" t="s">
        <v>389</v>
      </c>
      <c r="G26" s="2">
        <v>2</v>
      </c>
      <c r="H26" s="2">
        <v>50000</v>
      </c>
      <c r="I26" s="2">
        <v>0</v>
      </c>
      <c r="J26" s="3">
        <f t="shared" si="0"/>
        <v>100000</v>
      </c>
      <c r="K26" s="2" t="str">
        <f>TEXT(Table4[OrderDate], "mmmm")</f>
        <v>February</v>
      </c>
      <c r="L26" s="2">
        <f>IF(C26 = "", 0, IF(COUNTIF($C$2:C26, C26) = 1, 1, 0))</f>
        <v>1</v>
      </c>
      <c r="R26" s="10" t="s">
        <v>378</v>
      </c>
      <c r="S26" s="10">
        <f>SUMIF(Table4[City], R26, Table4[Sales])</f>
        <v>6085325</v>
      </c>
    </row>
    <row r="27" spans="1:19" x14ac:dyDescent="0.25">
      <c r="A27" s="2">
        <v>1026</v>
      </c>
      <c r="B27" s="21" t="s">
        <v>34</v>
      </c>
      <c r="C27" s="2" t="s">
        <v>369</v>
      </c>
      <c r="D27" s="2" t="s">
        <v>379</v>
      </c>
      <c r="E27" s="2" t="s">
        <v>384</v>
      </c>
      <c r="F27" s="2" t="s">
        <v>389</v>
      </c>
      <c r="G27" s="2">
        <v>2</v>
      </c>
      <c r="H27" s="2">
        <v>30000</v>
      </c>
      <c r="I27" s="2">
        <v>0.15</v>
      </c>
      <c r="J27" s="3">
        <f t="shared" si="0"/>
        <v>51000</v>
      </c>
      <c r="K27" s="2" t="str">
        <f>TEXT(Table4[OrderDate], "mmmm")</f>
        <v>October</v>
      </c>
      <c r="L27" s="2">
        <f>IF(C27 = "", 0, IF(COUNTIF($C$2:C27, C27) = 1, 1, 0))</f>
        <v>0</v>
      </c>
      <c r="M27" s="10" t="s">
        <v>3</v>
      </c>
      <c r="N27" s="16" t="s">
        <v>406</v>
      </c>
      <c r="O27" s="10" t="s">
        <v>5</v>
      </c>
      <c r="P27" s="10" t="s">
        <v>389</v>
      </c>
      <c r="R27" s="10" t="s">
        <v>375</v>
      </c>
      <c r="S27" s="10">
        <f>SUMIF(Table4[City], R27, Table4[Sales])</f>
        <v>4591925</v>
      </c>
    </row>
    <row r="28" spans="1:19" x14ac:dyDescent="0.25">
      <c r="A28" s="2">
        <v>1027</v>
      </c>
      <c r="B28" s="21" t="s">
        <v>35</v>
      </c>
      <c r="C28" s="2" t="s">
        <v>368</v>
      </c>
      <c r="D28" s="2" t="s">
        <v>376</v>
      </c>
      <c r="E28" s="2" t="s">
        <v>383</v>
      </c>
      <c r="F28" s="2" t="s">
        <v>390</v>
      </c>
      <c r="G28" s="2">
        <v>2</v>
      </c>
      <c r="H28" s="2">
        <v>1500</v>
      </c>
      <c r="I28" s="2">
        <v>0.05</v>
      </c>
      <c r="J28" s="3">
        <f t="shared" si="0"/>
        <v>2850</v>
      </c>
      <c r="K28" s="2" t="str">
        <f>TEXT(Table4[OrderDate], "mmmm")</f>
        <v>June</v>
      </c>
      <c r="L28" s="2">
        <f>IF(C28 = "", 0, IF(COUNTIF($C$2:C28, C28) = 1, 1, 0))</f>
        <v>0</v>
      </c>
      <c r="M28" s="10" t="s">
        <v>377</v>
      </c>
      <c r="N28" s="10">
        <f>SUMIFS(Table4[Sales], Table4[Category], $P$27,Table4[City], M28)</f>
        <v>5563400</v>
      </c>
      <c r="O28" s="10"/>
      <c r="P28" s="10"/>
      <c r="R28" s="10" t="s">
        <v>380</v>
      </c>
      <c r="S28" s="10">
        <f>SUMIF(Table4[City], R28, Table4[Sales])</f>
        <v>6270225</v>
      </c>
    </row>
    <row r="29" spans="1:19" x14ac:dyDescent="0.25">
      <c r="A29" s="2">
        <v>1470</v>
      </c>
      <c r="B29" s="21" t="s">
        <v>282</v>
      </c>
      <c r="C29" s="2" t="s">
        <v>364</v>
      </c>
      <c r="D29" s="2" t="s">
        <v>375</v>
      </c>
      <c r="E29" s="2" t="s">
        <v>382</v>
      </c>
      <c r="F29" s="2" t="s">
        <v>389</v>
      </c>
      <c r="G29" s="2">
        <v>5</v>
      </c>
      <c r="H29" s="2">
        <v>50000</v>
      </c>
      <c r="I29" s="2">
        <v>0.05</v>
      </c>
      <c r="J29" s="3">
        <f t="shared" si="0"/>
        <v>237500</v>
      </c>
      <c r="K29" s="2" t="str">
        <f>TEXT(Table4[OrderDate], "mmmm")</f>
        <v>August</v>
      </c>
      <c r="L29" s="2">
        <f>IF(C29 = "", 0, IF(COUNTIF($C$2:C29, C29) = 1, 1, 0))</f>
        <v>0</v>
      </c>
      <c r="M29" s="10" t="s">
        <v>379</v>
      </c>
      <c r="N29" s="10">
        <f>SUMIFS(Table4[Sales], Table4[Category], $P$27,Table4[City], M29)</f>
        <v>5756800</v>
      </c>
      <c r="O29" s="10"/>
      <c r="P29" s="10"/>
      <c r="R29" s="10" t="s">
        <v>374</v>
      </c>
      <c r="S29" s="10">
        <f>SUMIF(Table4[City], R29, Table4[Sales])</f>
        <v>4563100</v>
      </c>
    </row>
    <row r="30" spans="1:19" x14ac:dyDescent="0.25">
      <c r="A30" s="2">
        <v>1029</v>
      </c>
      <c r="B30" s="21" t="s">
        <v>13</v>
      </c>
      <c r="C30" s="2" t="s">
        <v>357</v>
      </c>
      <c r="D30" s="2" t="s">
        <v>375</v>
      </c>
      <c r="E30" s="2" t="s">
        <v>381</v>
      </c>
      <c r="F30" s="2" t="s">
        <v>389</v>
      </c>
      <c r="G30" s="2">
        <v>3</v>
      </c>
      <c r="H30" s="2">
        <v>20000</v>
      </c>
      <c r="I30" s="2">
        <v>0</v>
      </c>
      <c r="J30" s="3">
        <f t="shared" si="0"/>
        <v>60000</v>
      </c>
      <c r="K30" s="2" t="str">
        <f>TEXT(Table4[OrderDate], "mmmm")</f>
        <v>October</v>
      </c>
      <c r="L30" s="2">
        <f>IF(C30 = "", 0, IF(COUNTIF($C$2:C30, C30) = 1, 1, 0))</f>
        <v>0</v>
      </c>
      <c r="M30" s="10" t="s">
        <v>373</v>
      </c>
      <c r="N30" s="10">
        <f>SUMIFS(Table4[Sales], Table4[Category], $P$27,Table4[City], M30)</f>
        <v>5902400</v>
      </c>
      <c r="O30" s="10"/>
      <c r="P30" s="10"/>
    </row>
    <row r="31" spans="1:19" x14ac:dyDescent="0.25">
      <c r="A31" s="2">
        <v>1030</v>
      </c>
      <c r="B31" s="21" t="s">
        <v>37</v>
      </c>
      <c r="C31" s="2" t="s">
        <v>365</v>
      </c>
      <c r="D31" s="2" t="s">
        <v>374</v>
      </c>
      <c r="E31" s="2" t="s">
        <v>382</v>
      </c>
      <c r="F31" s="2" t="s">
        <v>389</v>
      </c>
      <c r="G31" s="2">
        <v>1</v>
      </c>
      <c r="H31" s="2">
        <v>50000</v>
      </c>
      <c r="I31" s="2">
        <v>0</v>
      </c>
      <c r="J31" s="3">
        <f t="shared" si="0"/>
        <v>50000</v>
      </c>
      <c r="K31" s="2" t="str">
        <f>TEXT(Table4[OrderDate], "mmmm")</f>
        <v>April</v>
      </c>
      <c r="L31" s="2">
        <f>IF(C31 = "", 0, IF(COUNTIF($C$2:C31, C31) = 1, 1, 0))</f>
        <v>0</v>
      </c>
      <c r="M31" s="10" t="s">
        <v>376</v>
      </c>
      <c r="N31" s="10">
        <f>SUMIFS(Table4[Sales], Table4[Category], $P$27,Table4[City], M31)</f>
        <v>3990100</v>
      </c>
      <c r="O31" s="10"/>
      <c r="P31" s="10"/>
    </row>
    <row r="32" spans="1:19" x14ac:dyDescent="0.25">
      <c r="A32" s="2">
        <v>1031</v>
      </c>
      <c r="B32" s="21" t="s">
        <v>14</v>
      </c>
      <c r="C32" s="2" t="s">
        <v>367</v>
      </c>
      <c r="D32" s="2" t="s">
        <v>375</v>
      </c>
      <c r="E32" s="2" t="s">
        <v>385</v>
      </c>
      <c r="F32" s="2" t="s">
        <v>390</v>
      </c>
      <c r="G32" s="2">
        <v>1</v>
      </c>
      <c r="H32" s="2">
        <v>2000</v>
      </c>
      <c r="I32" s="2">
        <v>0.05</v>
      </c>
      <c r="J32" s="3">
        <f t="shared" si="0"/>
        <v>1900</v>
      </c>
      <c r="K32" s="2" t="str">
        <f>TEXT(Table4[OrderDate], "mmmm")</f>
        <v>May</v>
      </c>
      <c r="L32" s="2">
        <f>IF(C32 = "", 0, IF(COUNTIF($C$2:C32, C32) = 1, 1, 0))</f>
        <v>0</v>
      </c>
      <c r="M32" s="10" t="s">
        <v>378</v>
      </c>
      <c r="N32" s="10">
        <f>SUMIFS(Table4[Sales], Table4[Category], $P$27,Table4[City], M32)</f>
        <v>5694500</v>
      </c>
      <c r="O32" s="10"/>
      <c r="P32" s="10"/>
    </row>
    <row r="33" spans="1:26" x14ac:dyDescent="0.25">
      <c r="A33" s="2">
        <v>1715</v>
      </c>
      <c r="B33" s="21" t="s">
        <v>235</v>
      </c>
      <c r="C33" s="2" t="s">
        <v>369</v>
      </c>
      <c r="D33" s="2" t="s">
        <v>379</v>
      </c>
      <c r="E33" s="2" t="s">
        <v>382</v>
      </c>
      <c r="F33" s="2" t="s">
        <v>389</v>
      </c>
      <c r="G33" s="2">
        <v>5</v>
      </c>
      <c r="H33" s="2">
        <v>50000</v>
      </c>
      <c r="I33" s="2">
        <v>0.05</v>
      </c>
      <c r="J33" s="3">
        <f t="shared" si="0"/>
        <v>237500</v>
      </c>
      <c r="K33" s="2" t="str">
        <f>TEXT(Table4[OrderDate], "mmmm")</f>
        <v>January</v>
      </c>
      <c r="L33" s="2">
        <f>IF(C33 = "", 0, IF(COUNTIF($C$2:C33, C33) = 1, 1, 0))</f>
        <v>0</v>
      </c>
      <c r="M33" s="10" t="s">
        <v>375</v>
      </c>
      <c r="N33" s="10">
        <f>SUMIFS(Table4[Sales], Table4[Category], $P$27,Table4[City], M33)</f>
        <v>4086500</v>
      </c>
      <c r="O33" s="10"/>
      <c r="P33" s="10"/>
      <c r="S33" s="4" t="s">
        <v>387</v>
      </c>
      <c r="T33" t="s">
        <v>385</v>
      </c>
      <c r="U33" t="s">
        <v>383</v>
      </c>
      <c r="V33" t="s">
        <v>382</v>
      </c>
      <c r="W33" t="s">
        <v>388</v>
      </c>
      <c r="X33" t="s">
        <v>381</v>
      </c>
      <c r="Y33" t="s">
        <v>386</v>
      </c>
      <c r="Z33" t="s">
        <v>384</v>
      </c>
    </row>
    <row r="34" spans="1:26" x14ac:dyDescent="0.25">
      <c r="A34" s="2">
        <v>1033</v>
      </c>
      <c r="B34" s="21" t="s">
        <v>39</v>
      </c>
      <c r="C34" s="2" t="s">
        <v>358</v>
      </c>
      <c r="D34" s="2" t="s">
        <v>376</v>
      </c>
      <c r="E34" s="2" t="s">
        <v>387</v>
      </c>
      <c r="F34" s="2" t="s">
        <v>391</v>
      </c>
      <c r="G34" s="2">
        <v>1</v>
      </c>
      <c r="H34" s="2">
        <v>3000</v>
      </c>
      <c r="I34" s="2">
        <v>0</v>
      </c>
      <c r="J34" s="3">
        <f t="shared" si="0"/>
        <v>3000</v>
      </c>
      <c r="K34" s="2" t="str">
        <f>TEXT(Table4[OrderDate], "mmmm")</f>
        <v>December</v>
      </c>
      <c r="L34" s="2">
        <f>IF(C34 = "", 0, IF(COUNTIF($C$2:C34, C34) = 1, 1, 0))</f>
        <v>1</v>
      </c>
      <c r="M34" s="10" t="s">
        <v>380</v>
      </c>
      <c r="N34" s="10">
        <f>SUMIFS(Table4[Sales], Table4[Category], $P$27,Table4[City], M34)</f>
        <v>5494200</v>
      </c>
      <c r="O34" s="10"/>
      <c r="P34" s="10"/>
      <c r="R34" t="s">
        <v>373</v>
      </c>
      <c r="S34" s="4">
        <v>163950</v>
      </c>
      <c r="T34">
        <v>95500</v>
      </c>
      <c r="U34">
        <v>52200</v>
      </c>
      <c r="V34">
        <v>2640000</v>
      </c>
      <c r="W34">
        <v>659400</v>
      </c>
      <c r="X34">
        <v>1055000</v>
      </c>
      <c r="Y34">
        <v>295750</v>
      </c>
      <c r="Z34">
        <v>1548000</v>
      </c>
    </row>
    <row r="35" spans="1:26" x14ac:dyDescent="0.25">
      <c r="A35" s="2">
        <v>1034</v>
      </c>
      <c r="B35" s="21" t="s">
        <v>40</v>
      </c>
      <c r="C35" s="2" t="s">
        <v>362</v>
      </c>
      <c r="D35" s="2" t="s">
        <v>374</v>
      </c>
      <c r="E35" s="2" t="s">
        <v>383</v>
      </c>
      <c r="F35" s="2" t="s">
        <v>390</v>
      </c>
      <c r="G35" s="2">
        <v>4</v>
      </c>
      <c r="H35" s="2">
        <v>1500</v>
      </c>
      <c r="I35" s="2">
        <v>0.15</v>
      </c>
      <c r="J35" s="3">
        <f t="shared" si="0"/>
        <v>5100</v>
      </c>
      <c r="K35" s="2" t="str">
        <f>TEXT(Table4[OrderDate], "mmmm")</f>
        <v>January</v>
      </c>
      <c r="L35" s="2">
        <f>IF(C35 = "", 0, IF(COUNTIF($C$2:C35, C35) = 1, 1, 0))</f>
        <v>0</v>
      </c>
      <c r="M35" s="10" t="s">
        <v>374</v>
      </c>
      <c r="N35" s="10">
        <f>SUMIFS(Table4[Sales], Table4[Category], $P$27,Table4[City], M35)</f>
        <v>4118400</v>
      </c>
      <c r="O35" s="10"/>
      <c r="P35" s="10"/>
      <c r="R35" t="s">
        <v>378</v>
      </c>
      <c r="S35" s="4">
        <v>88650</v>
      </c>
      <c r="T35">
        <v>57700</v>
      </c>
      <c r="U35">
        <v>76125</v>
      </c>
      <c r="V35">
        <v>2347500</v>
      </c>
      <c r="W35">
        <v>318000</v>
      </c>
      <c r="X35">
        <v>1262000</v>
      </c>
      <c r="Y35">
        <v>168350</v>
      </c>
      <c r="Z35">
        <v>1767000</v>
      </c>
    </row>
    <row r="36" spans="1:26" x14ac:dyDescent="0.25">
      <c r="A36" s="2">
        <v>1035</v>
      </c>
      <c r="B36" s="21" t="s">
        <v>41</v>
      </c>
      <c r="C36" s="2" t="s">
        <v>371</v>
      </c>
      <c r="D36" s="2" t="s">
        <v>375</v>
      </c>
      <c r="E36" s="2" t="s">
        <v>383</v>
      </c>
      <c r="F36" s="2" t="s">
        <v>390</v>
      </c>
      <c r="G36" s="2">
        <v>3</v>
      </c>
      <c r="H36" s="2">
        <v>1500</v>
      </c>
      <c r="I36" s="2">
        <v>0</v>
      </c>
      <c r="J36" s="3">
        <f t="shared" si="0"/>
        <v>4500</v>
      </c>
      <c r="K36" s="2" t="str">
        <f>TEXT(Table4[OrderDate], "mmmm")</f>
        <v>May</v>
      </c>
      <c r="L36" s="2">
        <f>IF(C36 = "", 0, IF(COUNTIF($C$2:C36, C36) = 1, 1, 0))</f>
        <v>0</v>
      </c>
      <c r="M36" s="10"/>
      <c r="N36" s="10"/>
      <c r="O36" s="10"/>
      <c r="P36" s="10"/>
      <c r="R36" t="s">
        <v>374</v>
      </c>
      <c r="S36" s="4">
        <v>140400</v>
      </c>
      <c r="T36">
        <v>67800</v>
      </c>
      <c r="U36">
        <v>61500</v>
      </c>
      <c r="V36">
        <v>1920000</v>
      </c>
      <c r="W36">
        <v>305400</v>
      </c>
      <c r="X36">
        <v>897000</v>
      </c>
      <c r="Y36">
        <v>175000</v>
      </c>
      <c r="Z36">
        <v>996000</v>
      </c>
    </row>
    <row r="37" spans="1:26" x14ac:dyDescent="0.25">
      <c r="A37" s="2">
        <v>1036</v>
      </c>
      <c r="B37" s="21" t="s">
        <v>42</v>
      </c>
      <c r="C37" s="2" t="s">
        <v>360</v>
      </c>
      <c r="D37" s="2" t="s">
        <v>380</v>
      </c>
      <c r="E37" s="2" t="s">
        <v>388</v>
      </c>
      <c r="F37" s="2" t="s">
        <v>389</v>
      </c>
      <c r="G37" s="2">
        <v>2</v>
      </c>
      <c r="H37" s="2">
        <v>12000</v>
      </c>
      <c r="I37" s="2">
        <v>0.15</v>
      </c>
      <c r="J37" s="3">
        <f t="shared" si="0"/>
        <v>20400</v>
      </c>
      <c r="K37" s="2" t="str">
        <f>TEXT(Table4[OrderDate], "mmmm")</f>
        <v>April</v>
      </c>
      <c r="L37" s="2">
        <f>IF(C37 = "", 0, IF(COUNTIF($C$2:C37, C37) = 1, 1, 0))</f>
        <v>0</v>
      </c>
      <c r="M37" s="10" t="s">
        <v>373</v>
      </c>
      <c r="N37" s="10">
        <v>5902400</v>
      </c>
      <c r="O37" s="10"/>
      <c r="P37" s="10"/>
      <c r="R37" t="s">
        <v>380</v>
      </c>
      <c r="S37" s="4">
        <v>166650</v>
      </c>
      <c r="T37">
        <v>111000</v>
      </c>
      <c r="U37">
        <v>127725</v>
      </c>
      <c r="V37">
        <v>2692500</v>
      </c>
      <c r="W37">
        <v>460200</v>
      </c>
      <c r="X37">
        <v>888000</v>
      </c>
      <c r="Y37">
        <v>370650</v>
      </c>
      <c r="Z37">
        <v>1453500</v>
      </c>
    </row>
    <row r="38" spans="1:26" x14ac:dyDescent="0.25">
      <c r="A38" s="2">
        <v>1037</v>
      </c>
      <c r="B38" s="21" t="s">
        <v>34</v>
      </c>
      <c r="C38" s="2" t="s">
        <v>362</v>
      </c>
      <c r="D38" s="2" t="s">
        <v>374</v>
      </c>
      <c r="E38" s="2" t="s">
        <v>387</v>
      </c>
      <c r="F38" s="2" t="s">
        <v>391</v>
      </c>
      <c r="G38" s="2">
        <v>1</v>
      </c>
      <c r="H38" s="2">
        <v>3000</v>
      </c>
      <c r="I38" s="2">
        <v>0.15</v>
      </c>
      <c r="J38" s="3">
        <f t="shared" si="0"/>
        <v>2550</v>
      </c>
      <c r="K38" s="2" t="str">
        <f>TEXT(Table4[OrderDate], "mmmm")</f>
        <v>October</v>
      </c>
      <c r="L38" s="2">
        <f>IF(C38 = "", 0, IF(COUNTIF($C$2:C38, C38) = 1, 1, 0))</f>
        <v>0</v>
      </c>
      <c r="M38" s="10" t="s">
        <v>379</v>
      </c>
      <c r="N38" s="10">
        <v>5756800</v>
      </c>
      <c r="O38" s="10"/>
      <c r="P38" s="10"/>
      <c r="R38" t="s">
        <v>379</v>
      </c>
      <c r="S38" s="4">
        <v>105600</v>
      </c>
      <c r="T38">
        <v>81900</v>
      </c>
      <c r="U38">
        <v>64050</v>
      </c>
      <c r="V38">
        <v>2442500</v>
      </c>
      <c r="W38">
        <v>742800</v>
      </c>
      <c r="X38">
        <v>830000</v>
      </c>
      <c r="Y38">
        <v>273700</v>
      </c>
      <c r="Z38">
        <v>1741500</v>
      </c>
    </row>
    <row r="39" spans="1:26" x14ac:dyDescent="0.25">
      <c r="A39" s="2">
        <v>1038</v>
      </c>
      <c r="B39" s="21" t="s">
        <v>43</v>
      </c>
      <c r="C39" s="2" t="s">
        <v>358</v>
      </c>
      <c r="D39" s="2" t="s">
        <v>380</v>
      </c>
      <c r="E39" s="2" t="s">
        <v>382</v>
      </c>
      <c r="F39" s="2" t="s">
        <v>389</v>
      </c>
      <c r="G39" s="2">
        <v>1</v>
      </c>
      <c r="H39" s="2">
        <v>50000</v>
      </c>
      <c r="I39" s="2">
        <v>0.05</v>
      </c>
      <c r="J39" s="3">
        <f t="shared" si="0"/>
        <v>47500</v>
      </c>
      <c r="K39" s="2" t="str">
        <f>TEXT(Table4[OrderDate], "mmmm")</f>
        <v>March</v>
      </c>
      <c r="L39" s="2">
        <f>IF(C39 = "", 0, IF(COUNTIF($C$2:C39, C39) = 1, 1, 0))</f>
        <v>0</v>
      </c>
      <c r="M39" s="10" t="s">
        <v>378</v>
      </c>
      <c r="N39" s="10">
        <v>5694500</v>
      </c>
      <c r="O39" s="10"/>
      <c r="P39" s="10"/>
      <c r="R39" t="s">
        <v>375</v>
      </c>
      <c r="S39" s="4">
        <v>92850</v>
      </c>
      <c r="T39">
        <v>62900</v>
      </c>
      <c r="U39">
        <v>82275</v>
      </c>
      <c r="V39">
        <v>915000</v>
      </c>
      <c r="W39">
        <v>888000</v>
      </c>
      <c r="X39">
        <v>992000</v>
      </c>
      <c r="Y39">
        <v>267400</v>
      </c>
      <c r="Z39">
        <v>1291500</v>
      </c>
    </row>
    <row r="40" spans="1:26" x14ac:dyDescent="0.25">
      <c r="A40" s="2">
        <v>1039</v>
      </c>
      <c r="B40" s="21" t="s">
        <v>44</v>
      </c>
      <c r="C40" s="2" t="s">
        <v>369</v>
      </c>
      <c r="D40" s="2" t="s">
        <v>378</v>
      </c>
      <c r="E40" s="2" t="s">
        <v>388</v>
      </c>
      <c r="F40" s="2" t="s">
        <v>389</v>
      </c>
      <c r="G40" s="2">
        <v>2</v>
      </c>
      <c r="H40" s="2">
        <v>12000</v>
      </c>
      <c r="I40" s="2">
        <v>0.15</v>
      </c>
      <c r="J40" s="3">
        <f t="shared" si="0"/>
        <v>20400</v>
      </c>
      <c r="K40" s="2" t="str">
        <f>TEXT(Table4[OrderDate], "mmmm")</f>
        <v>January</v>
      </c>
      <c r="L40" s="2">
        <f>IF(C40 = "", 0, IF(COUNTIF($C$2:C40, C40) = 1, 1, 0))</f>
        <v>0</v>
      </c>
      <c r="M40" s="10" t="s">
        <v>377</v>
      </c>
      <c r="N40" s="10">
        <v>5563400</v>
      </c>
      <c r="O40" s="10"/>
      <c r="P40" s="10"/>
      <c r="R40" t="s">
        <v>377</v>
      </c>
      <c r="S40" s="4">
        <v>116250</v>
      </c>
      <c r="T40">
        <v>79300</v>
      </c>
      <c r="U40">
        <v>40200</v>
      </c>
      <c r="V40">
        <v>2742500</v>
      </c>
      <c r="W40">
        <v>554400</v>
      </c>
      <c r="X40">
        <v>951000</v>
      </c>
      <c r="Y40">
        <v>274050</v>
      </c>
      <c r="Z40">
        <v>1315500</v>
      </c>
    </row>
    <row r="41" spans="1:26" x14ac:dyDescent="0.25">
      <c r="A41" s="2">
        <v>1040</v>
      </c>
      <c r="B41" s="21" t="s">
        <v>19</v>
      </c>
      <c r="C41" s="2" t="s">
        <v>370</v>
      </c>
      <c r="D41" s="2" t="s">
        <v>378</v>
      </c>
      <c r="E41" s="2" t="s">
        <v>382</v>
      </c>
      <c r="F41" s="2" t="s">
        <v>389</v>
      </c>
      <c r="G41" s="2">
        <v>4</v>
      </c>
      <c r="H41" s="2">
        <v>50000</v>
      </c>
      <c r="I41" s="2">
        <v>0.1</v>
      </c>
      <c r="J41" s="3">
        <f t="shared" si="0"/>
        <v>180000</v>
      </c>
      <c r="K41" s="2" t="str">
        <f>TEXT(Table4[OrderDate], "mmmm")</f>
        <v>August</v>
      </c>
      <c r="L41" s="2">
        <f>IF(C41 = "", 0, IF(COUNTIF($C$2:C41, C41) = 1, 1, 0))</f>
        <v>0</v>
      </c>
      <c r="M41" s="10" t="s">
        <v>380</v>
      </c>
      <c r="N41" s="10">
        <v>5494200</v>
      </c>
      <c r="O41" s="10"/>
      <c r="P41" s="10"/>
      <c r="R41" t="s">
        <v>376</v>
      </c>
      <c r="S41">
        <v>113700</v>
      </c>
      <c r="T41">
        <v>104000</v>
      </c>
      <c r="U41">
        <v>65400</v>
      </c>
      <c r="V41">
        <v>1747500</v>
      </c>
      <c r="W41">
        <v>153600</v>
      </c>
      <c r="X41">
        <v>1057000</v>
      </c>
      <c r="Y41">
        <v>304150</v>
      </c>
      <c r="Z41">
        <v>1032000</v>
      </c>
    </row>
    <row r="42" spans="1:26" x14ac:dyDescent="0.25">
      <c r="A42" s="2">
        <v>1041</v>
      </c>
      <c r="B42" s="21" t="s">
        <v>45</v>
      </c>
      <c r="C42" s="2" t="s">
        <v>371</v>
      </c>
      <c r="D42" s="2" t="s">
        <v>374</v>
      </c>
      <c r="E42" s="2" t="s">
        <v>388</v>
      </c>
      <c r="F42" s="2" t="s">
        <v>389</v>
      </c>
      <c r="G42" s="2">
        <v>2</v>
      </c>
      <c r="H42" s="2">
        <v>12000</v>
      </c>
      <c r="I42" s="2">
        <v>0.05</v>
      </c>
      <c r="J42" s="3">
        <f t="shared" si="0"/>
        <v>22800</v>
      </c>
      <c r="K42" s="2" t="str">
        <f>TEXT(Table4[OrderDate], "mmmm")</f>
        <v>May</v>
      </c>
      <c r="L42" s="2">
        <f>IF(C42 = "", 0, IF(COUNTIF($C$2:C42, C42) = 1, 1, 0))</f>
        <v>0</v>
      </c>
      <c r="M42" s="10" t="s">
        <v>374</v>
      </c>
      <c r="N42" s="10">
        <v>4118400</v>
      </c>
      <c r="O42" s="10"/>
      <c r="P42" s="10"/>
    </row>
    <row r="43" spans="1:26" x14ac:dyDescent="0.25">
      <c r="A43" s="2">
        <v>1042</v>
      </c>
      <c r="B43" s="21" t="s">
        <v>46</v>
      </c>
      <c r="C43" s="2" t="s">
        <v>367</v>
      </c>
      <c r="D43" s="2" t="s">
        <v>373</v>
      </c>
      <c r="E43" s="2" t="s">
        <v>382</v>
      </c>
      <c r="F43" s="2" t="s">
        <v>389</v>
      </c>
      <c r="G43" s="2">
        <v>3</v>
      </c>
      <c r="H43" s="2">
        <v>50000</v>
      </c>
      <c r="I43" s="2">
        <v>0</v>
      </c>
      <c r="J43" s="3">
        <f t="shared" si="0"/>
        <v>150000</v>
      </c>
      <c r="K43" s="2" t="str">
        <f>TEXT(Table4[OrderDate], "mmmm")</f>
        <v>January</v>
      </c>
      <c r="L43" s="2">
        <f>IF(C43 = "", 0, IF(COUNTIF($C$2:C43, C43) = 1, 1, 0))</f>
        <v>0</v>
      </c>
      <c r="M43" s="10" t="s">
        <v>375</v>
      </c>
      <c r="N43" s="10">
        <v>4086500</v>
      </c>
      <c r="O43" s="10"/>
      <c r="P43" s="10"/>
    </row>
    <row r="44" spans="1:26" x14ac:dyDescent="0.25">
      <c r="A44" s="2">
        <v>1786</v>
      </c>
      <c r="B44" s="21" t="s">
        <v>303</v>
      </c>
      <c r="C44" s="2" t="s">
        <v>370</v>
      </c>
      <c r="D44" s="2" t="s">
        <v>380</v>
      </c>
      <c r="E44" s="2" t="s">
        <v>382</v>
      </c>
      <c r="F44" s="2" t="s">
        <v>389</v>
      </c>
      <c r="G44" s="2">
        <v>5</v>
      </c>
      <c r="H44" s="2">
        <v>50000</v>
      </c>
      <c r="I44" s="2">
        <v>0.05</v>
      </c>
      <c r="J44" s="3">
        <f t="shared" si="0"/>
        <v>237500</v>
      </c>
      <c r="K44" s="2" t="str">
        <f>TEXT(Table4[OrderDate], "mmmm")</f>
        <v>June</v>
      </c>
      <c r="L44" s="2">
        <f>IF(C44 = "", 0, IF(COUNTIF($C$2:C44, C44) = 1, 1, 0))</f>
        <v>0</v>
      </c>
      <c r="M44" s="10" t="s">
        <v>376</v>
      </c>
      <c r="N44" s="10">
        <v>3990100</v>
      </c>
      <c r="O44" s="10"/>
      <c r="P44" s="10"/>
    </row>
    <row r="45" spans="1:26" x14ac:dyDescent="0.25">
      <c r="A45" s="2">
        <v>1044</v>
      </c>
      <c r="B45" s="21" t="s">
        <v>48</v>
      </c>
      <c r="C45" s="2" t="s">
        <v>357</v>
      </c>
      <c r="D45" s="2" t="s">
        <v>374</v>
      </c>
      <c r="E45" s="2" t="s">
        <v>387</v>
      </c>
      <c r="F45" s="2" t="s">
        <v>391</v>
      </c>
      <c r="G45" s="2">
        <v>4</v>
      </c>
      <c r="H45" s="2">
        <v>3000</v>
      </c>
      <c r="I45" s="2">
        <v>0</v>
      </c>
      <c r="J45" s="3">
        <f t="shared" si="0"/>
        <v>12000</v>
      </c>
      <c r="K45" s="2" t="str">
        <f>TEXT(Table4[OrderDate], "mmmm")</f>
        <v>October</v>
      </c>
      <c r="L45" s="2">
        <f>IF(C45 = "", 0, IF(COUNTIF($C$2:C45, C45) = 1, 1, 0))</f>
        <v>0</v>
      </c>
    </row>
    <row r="46" spans="1:26" x14ac:dyDescent="0.25">
      <c r="A46" s="2">
        <v>1045</v>
      </c>
      <c r="B46" s="21" t="s">
        <v>49</v>
      </c>
      <c r="C46" s="2" t="s">
        <v>371</v>
      </c>
      <c r="D46" s="2" t="s">
        <v>376</v>
      </c>
      <c r="E46" s="2" t="s">
        <v>381</v>
      </c>
      <c r="F46" s="2" t="s">
        <v>389</v>
      </c>
      <c r="G46" s="2">
        <v>4</v>
      </c>
      <c r="H46" s="2">
        <v>20000</v>
      </c>
      <c r="I46" s="2">
        <v>0.1</v>
      </c>
      <c r="J46" s="3">
        <f t="shared" si="0"/>
        <v>72000</v>
      </c>
      <c r="K46" s="2" t="str">
        <f>TEXT(Table4[OrderDate], "mmmm")</f>
        <v>May</v>
      </c>
      <c r="L46" s="2">
        <f>IF(C46 = "", 0, IF(COUNTIF($C$2:C46, C46) = 1, 1, 0))</f>
        <v>0</v>
      </c>
      <c r="N46" s="10" t="s">
        <v>407</v>
      </c>
      <c r="O46" s="10">
        <f>SUM(Table4[Price]*Table4[Quantity])-SUM(Table4[Sales])</f>
        <v>-44872975</v>
      </c>
    </row>
    <row r="47" spans="1:26" x14ac:dyDescent="0.25">
      <c r="A47" s="2">
        <v>1046</v>
      </c>
      <c r="B47" s="21" t="s">
        <v>50</v>
      </c>
      <c r="C47" s="2" t="s">
        <v>370</v>
      </c>
      <c r="D47" s="2" t="s">
        <v>380</v>
      </c>
      <c r="E47" s="2" t="s">
        <v>387</v>
      </c>
      <c r="F47" s="2" t="s">
        <v>391</v>
      </c>
      <c r="G47" s="2">
        <v>3</v>
      </c>
      <c r="H47" s="2">
        <v>3000</v>
      </c>
      <c r="I47" s="2">
        <v>0.15</v>
      </c>
      <c r="J47" s="3">
        <f t="shared" si="0"/>
        <v>7650</v>
      </c>
      <c r="K47" s="2" t="str">
        <f>TEXT(Table4[OrderDate], "mmmm")</f>
        <v>March</v>
      </c>
      <c r="L47" s="2">
        <f>IF(C47 = "", 0, IF(COUNTIF($C$2:C47, C47) = 1, 1, 0))</f>
        <v>0</v>
      </c>
    </row>
    <row r="48" spans="1:26" x14ac:dyDescent="0.25">
      <c r="A48" s="2">
        <v>1047</v>
      </c>
      <c r="B48" s="21" t="s">
        <v>51</v>
      </c>
      <c r="C48" s="2" t="s">
        <v>362</v>
      </c>
      <c r="D48" s="2" t="s">
        <v>377</v>
      </c>
      <c r="E48" s="2" t="s">
        <v>385</v>
      </c>
      <c r="F48" s="2" t="s">
        <v>390</v>
      </c>
      <c r="G48" s="2">
        <v>1</v>
      </c>
      <c r="H48" s="2">
        <v>2000</v>
      </c>
      <c r="I48" s="2">
        <v>0</v>
      </c>
      <c r="J48" s="3">
        <f t="shared" si="0"/>
        <v>2000</v>
      </c>
      <c r="K48" s="2" t="str">
        <f>TEXT(Table4[OrderDate], "mmmm")</f>
        <v>August</v>
      </c>
      <c r="L48" s="2">
        <f>IF(C48 = "", 0, IF(COUNTIF($C$2:C48, C48) = 1, 1, 0))</f>
        <v>0</v>
      </c>
    </row>
    <row r="49" spans="1:12" x14ac:dyDescent="0.25">
      <c r="A49" s="2">
        <v>1999</v>
      </c>
      <c r="B49" s="21" t="s">
        <v>96</v>
      </c>
      <c r="C49" s="2" t="s">
        <v>368</v>
      </c>
      <c r="D49" s="2" t="s">
        <v>377</v>
      </c>
      <c r="E49" s="2" t="s">
        <v>382</v>
      </c>
      <c r="F49" s="2" t="s">
        <v>389</v>
      </c>
      <c r="G49" s="2">
        <v>5</v>
      </c>
      <c r="H49" s="2">
        <v>50000</v>
      </c>
      <c r="I49" s="2">
        <v>0.05</v>
      </c>
      <c r="J49" s="3">
        <f t="shared" si="0"/>
        <v>237500</v>
      </c>
      <c r="K49" s="2" t="str">
        <f>TEXT(Table4[OrderDate], "mmmm")</f>
        <v>September</v>
      </c>
      <c r="L49" s="2">
        <f>IF(C49 = "", 0, IF(COUNTIF($C$2:C49, C49) = 1, 1, 0))</f>
        <v>0</v>
      </c>
    </row>
    <row r="50" spans="1:12" x14ac:dyDescent="0.25">
      <c r="A50" s="2">
        <v>1049</v>
      </c>
      <c r="B50" s="21" t="s">
        <v>52</v>
      </c>
      <c r="C50" s="2" t="s">
        <v>363</v>
      </c>
      <c r="D50" s="2" t="s">
        <v>379</v>
      </c>
      <c r="E50" s="2" t="s">
        <v>387</v>
      </c>
      <c r="F50" s="2" t="s">
        <v>391</v>
      </c>
      <c r="G50" s="2">
        <v>3</v>
      </c>
      <c r="H50" s="2">
        <v>3000</v>
      </c>
      <c r="I50" s="2">
        <v>0.1</v>
      </c>
      <c r="J50" s="3">
        <f t="shared" si="0"/>
        <v>8100</v>
      </c>
      <c r="K50" s="2" t="str">
        <f>TEXT(Table4[OrderDate], "mmmm")</f>
        <v>March</v>
      </c>
      <c r="L50" s="2">
        <f>IF(C50 = "", 0, IF(COUNTIF($C$2:C50, C50) = 1, 1, 0))</f>
        <v>0</v>
      </c>
    </row>
    <row r="51" spans="1:12" x14ac:dyDescent="0.25">
      <c r="A51" s="2">
        <v>1050</v>
      </c>
      <c r="B51" s="21" t="s">
        <v>53</v>
      </c>
      <c r="C51" s="2" t="s">
        <v>362</v>
      </c>
      <c r="D51" s="2" t="s">
        <v>373</v>
      </c>
      <c r="E51" s="2" t="s">
        <v>382</v>
      </c>
      <c r="F51" s="2" t="s">
        <v>389</v>
      </c>
      <c r="G51" s="2">
        <v>5</v>
      </c>
      <c r="H51" s="2">
        <v>50000</v>
      </c>
      <c r="I51" s="2">
        <v>0.1</v>
      </c>
      <c r="J51" s="3">
        <f t="shared" si="0"/>
        <v>225000</v>
      </c>
      <c r="K51" s="2" t="str">
        <f>TEXT(Table4[OrderDate], "mmmm")</f>
        <v>December</v>
      </c>
      <c r="L51" s="2">
        <f>IF(C51 = "", 0, IF(COUNTIF($C$2:C51, C51) = 1, 1, 0))</f>
        <v>0</v>
      </c>
    </row>
    <row r="52" spans="1:12" x14ac:dyDescent="0.25">
      <c r="A52" s="2">
        <v>1051</v>
      </c>
      <c r="B52" s="21" t="s">
        <v>54</v>
      </c>
      <c r="C52" s="2" t="s">
        <v>361</v>
      </c>
      <c r="D52" s="2" t="s">
        <v>379</v>
      </c>
      <c r="E52" s="2" t="s">
        <v>386</v>
      </c>
      <c r="F52" s="2" t="s">
        <v>391</v>
      </c>
      <c r="G52" s="2">
        <v>1</v>
      </c>
      <c r="H52" s="2">
        <v>7000</v>
      </c>
      <c r="I52" s="2">
        <v>0</v>
      </c>
      <c r="J52" s="3">
        <f t="shared" si="0"/>
        <v>7000</v>
      </c>
      <c r="K52" s="2" t="str">
        <f>TEXT(Table4[OrderDate], "mmmm")</f>
        <v>October</v>
      </c>
      <c r="L52" s="2">
        <f>IF(C52 = "", 0, IF(COUNTIF($C$2:C52, C52) = 1, 1, 0))</f>
        <v>0</v>
      </c>
    </row>
    <row r="53" spans="1:12" x14ac:dyDescent="0.25">
      <c r="A53" s="2">
        <v>1257</v>
      </c>
      <c r="B53" s="21" t="s">
        <v>195</v>
      </c>
      <c r="C53" s="2" t="s">
        <v>358</v>
      </c>
      <c r="D53" s="2" t="s">
        <v>373</v>
      </c>
      <c r="E53" s="2" t="s">
        <v>382</v>
      </c>
      <c r="F53" s="2" t="s">
        <v>389</v>
      </c>
      <c r="G53" s="2">
        <v>5</v>
      </c>
      <c r="H53" s="2">
        <v>50000</v>
      </c>
      <c r="I53" s="2">
        <v>0.1</v>
      </c>
      <c r="J53" s="3">
        <f t="shared" si="0"/>
        <v>225000</v>
      </c>
      <c r="K53" s="2" t="str">
        <f>TEXT(Table4[OrderDate], "mmmm")</f>
        <v>May</v>
      </c>
      <c r="L53" s="2">
        <f>IF(C53 = "", 0, IF(COUNTIF($C$2:C53, C53) = 1, 1, 0))</f>
        <v>0</v>
      </c>
    </row>
    <row r="54" spans="1:12" x14ac:dyDescent="0.25">
      <c r="A54" s="2">
        <v>1053</v>
      </c>
      <c r="B54" s="21" t="s">
        <v>56</v>
      </c>
      <c r="C54" s="2" t="s">
        <v>358</v>
      </c>
      <c r="D54" s="2" t="s">
        <v>379</v>
      </c>
      <c r="E54" s="2" t="s">
        <v>388</v>
      </c>
      <c r="F54" s="2" t="s">
        <v>389</v>
      </c>
      <c r="G54" s="2">
        <v>3</v>
      </c>
      <c r="H54" s="2">
        <v>12000</v>
      </c>
      <c r="I54" s="2">
        <v>0</v>
      </c>
      <c r="J54" s="3">
        <f t="shared" si="0"/>
        <v>36000</v>
      </c>
      <c r="K54" s="2" t="str">
        <f>TEXT(Table4[OrderDate], "mmmm")</f>
        <v>February</v>
      </c>
      <c r="L54" s="2">
        <f>IF(C54 = "", 0, IF(COUNTIF($C$2:C54, C54) = 1, 1, 0))</f>
        <v>0</v>
      </c>
    </row>
    <row r="55" spans="1:12" x14ac:dyDescent="0.25">
      <c r="A55" s="2">
        <v>1054</v>
      </c>
      <c r="B55" s="21" t="s">
        <v>57</v>
      </c>
      <c r="C55" s="2" t="s">
        <v>360</v>
      </c>
      <c r="D55" s="2" t="s">
        <v>373</v>
      </c>
      <c r="E55" s="2" t="s">
        <v>382</v>
      </c>
      <c r="F55" s="2" t="s">
        <v>389</v>
      </c>
      <c r="G55" s="2">
        <v>1</v>
      </c>
      <c r="H55" s="2">
        <v>50000</v>
      </c>
      <c r="I55" s="2">
        <v>0.1</v>
      </c>
      <c r="J55" s="3">
        <f t="shared" si="0"/>
        <v>45000</v>
      </c>
      <c r="K55" s="2" t="str">
        <f>TEXT(Table4[OrderDate], "mmmm")</f>
        <v>March</v>
      </c>
      <c r="L55" s="2">
        <f>IF(C55 = "", 0, IF(COUNTIF($C$2:C55, C55) = 1, 1, 0))</f>
        <v>0</v>
      </c>
    </row>
    <row r="56" spans="1:12" x14ac:dyDescent="0.25">
      <c r="A56" s="2">
        <v>1586</v>
      </c>
      <c r="B56" s="21" t="s">
        <v>58</v>
      </c>
      <c r="C56" s="2" t="s">
        <v>370</v>
      </c>
      <c r="D56" s="2" t="s">
        <v>379</v>
      </c>
      <c r="E56" s="2" t="s">
        <v>382</v>
      </c>
      <c r="F56" s="2" t="s">
        <v>389</v>
      </c>
      <c r="G56" s="2">
        <v>5</v>
      </c>
      <c r="H56" s="2">
        <v>50000</v>
      </c>
      <c r="I56" s="2">
        <v>0.1</v>
      </c>
      <c r="J56" s="3">
        <f t="shared" si="0"/>
        <v>225000</v>
      </c>
      <c r="K56" s="2" t="str">
        <f>TEXT(Table4[OrderDate], "mmmm")</f>
        <v>October</v>
      </c>
      <c r="L56" s="2">
        <f>IF(C56 = "", 0, IF(COUNTIF($C$2:C56, C56) = 1, 1, 0))</f>
        <v>0</v>
      </c>
    </row>
    <row r="57" spans="1:12" x14ac:dyDescent="0.25">
      <c r="A57" s="2">
        <v>1056</v>
      </c>
      <c r="B57" s="21" t="s">
        <v>59</v>
      </c>
      <c r="C57" s="2" t="s">
        <v>361</v>
      </c>
      <c r="D57" s="2" t="s">
        <v>378</v>
      </c>
      <c r="E57" s="2" t="s">
        <v>381</v>
      </c>
      <c r="F57" s="2" t="s">
        <v>389</v>
      </c>
      <c r="G57" s="2">
        <v>2</v>
      </c>
      <c r="H57" s="2">
        <v>20000</v>
      </c>
      <c r="I57" s="2">
        <v>0</v>
      </c>
      <c r="J57" s="3">
        <f t="shared" si="0"/>
        <v>40000</v>
      </c>
      <c r="K57" s="2" t="str">
        <f>TEXT(Table4[OrderDate], "mmmm")</f>
        <v>July</v>
      </c>
      <c r="L57" s="2">
        <f>IF(C57 = "", 0, IF(COUNTIF($C$2:C57, C57) = 1, 1, 0))</f>
        <v>0</v>
      </c>
    </row>
    <row r="58" spans="1:12" x14ac:dyDescent="0.25">
      <c r="A58" s="2">
        <v>1057</v>
      </c>
      <c r="B58" s="21" t="s">
        <v>60</v>
      </c>
      <c r="C58" s="2" t="s">
        <v>372</v>
      </c>
      <c r="D58" s="2" t="s">
        <v>376</v>
      </c>
      <c r="E58" s="2" t="s">
        <v>384</v>
      </c>
      <c r="F58" s="2" t="s">
        <v>389</v>
      </c>
      <c r="G58" s="2">
        <v>1</v>
      </c>
      <c r="H58" s="2">
        <v>30000</v>
      </c>
      <c r="I58" s="2">
        <v>0.1</v>
      </c>
      <c r="J58" s="3">
        <f t="shared" si="0"/>
        <v>27000</v>
      </c>
      <c r="K58" s="2" t="str">
        <f>TEXT(Table4[OrderDate], "mmmm")</f>
        <v>July</v>
      </c>
      <c r="L58" s="2">
        <f>IF(C58 = "", 0, IF(COUNTIF($C$2:C58, C58) = 1, 1, 0))</f>
        <v>1</v>
      </c>
    </row>
    <row r="59" spans="1:12" x14ac:dyDescent="0.25">
      <c r="A59" s="2">
        <v>1058</v>
      </c>
      <c r="B59" s="21" t="s">
        <v>61</v>
      </c>
      <c r="C59" s="2" t="s">
        <v>358</v>
      </c>
      <c r="D59" s="2" t="s">
        <v>373</v>
      </c>
      <c r="E59" s="2" t="s">
        <v>387</v>
      </c>
      <c r="F59" s="2" t="s">
        <v>391</v>
      </c>
      <c r="G59" s="2">
        <v>2</v>
      </c>
      <c r="H59" s="2">
        <v>3000</v>
      </c>
      <c r="I59" s="2">
        <v>0</v>
      </c>
      <c r="J59" s="3">
        <f t="shared" si="0"/>
        <v>6000</v>
      </c>
      <c r="K59" s="2" t="str">
        <f>TEXT(Table4[OrderDate], "mmmm")</f>
        <v>June</v>
      </c>
      <c r="L59" s="2">
        <f>IF(C59 = "", 0, IF(COUNTIF($C$2:C59, C59) = 1, 1, 0))</f>
        <v>0</v>
      </c>
    </row>
    <row r="60" spans="1:12" x14ac:dyDescent="0.25">
      <c r="A60" s="2">
        <v>1059</v>
      </c>
      <c r="B60" s="21" t="s">
        <v>62</v>
      </c>
      <c r="C60" s="2" t="s">
        <v>359</v>
      </c>
      <c r="D60" s="2" t="s">
        <v>373</v>
      </c>
      <c r="E60" s="2" t="s">
        <v>387</v>
      </c>
      <c r="F60" s="2" t="s">
        <v>391</v>
      </c>
      <c r="G60" s="2">
        <v>2</v>
      </c>
      <c r="H60" s="2">
        <v>3000</v>
      </c>
      <c r="I60" s="2">
        <v>0.05</v>
      </c>
      <c r="J60" s="3">
        <f t="shared" si="0"/>
        <v>5700</v>
      </c>
      <c r="K60" s="2" t="str">
        <f>TEXT(Table4[OrderDate], "mmmm")</f>
        <v>July</v>
      </c>
      <c r="L60" s="2">
        <f>IF(C60 = "", 0, IF(COUNTIF($C$2:C60, C60) = 1, 1, 0))</f>
        <v>0</v>
      </c>
    </row>
    <row r="61" spans="1:12" x14ac:dyDescent="0.25">
      <c r="A61" s="2">
        <v>1060</v>
      </c>
      <c r="B61" s="21" t="s">
        <v>63</v>
      </c>
      <c r="C61" s="2" t="s">
        <v>369</v>
      </c>
      <c r="D61" s="2" t="s">
        <v>377</v>
      </c>
      <c r="E61" s="2" t="s">
        <v>385</v>
      </c>
      <c r="F61" s="2" t="s">
        <v>390</v>
      </c>
      <c r="G61" s="2">
        <v>4</v>
      </c>
      <c r="H61" s="2">
        <v>2000</v>
      </c>
      <c r="I61" s="2">
        <v>0.05</v>
      </c>
      <c r="J61" s="3">
        <f t="shared" si="0"/>
        <v>7600</v>
      </c>
      <c r="K61" s="2" t="str">
        <f>TEXT(Table4[OrderDate], "mmmm")</f>
        <v>May</v>
      </c>
      <c r="L61" s="2">
        <f>IF(C61 = "", 0, IF(COUNTIF($C$2:C61, C61) = 1, 1, 0))</f>
        <v>0</v>
      </c>
    </row>
    <row r="62" spans="1:12" x14ac:dyDescent="0.25">
      <c r="A62" s="2">
        <v>1061</v>
      </c>
      <c r="B62" s="21" t="s">
        <v>64</v>
      </c>
      <c r="C62" s="2" t="s">
        <v>371</v>
      </c>
      <c r="D62" s="2" t="s">
        <v>380</v>
      </c>
      <c r="E62" s="2" t="s">
        <v>383</v>
      </c>
      <c r="F62" s="2" t="s">
        <v>390</v>
      </c>
      <c r="G62" s="2">
        <v>1</v>
      </c>
      <c r="H62" s="2">
        <v>1500</v>
      </c>
      <c r="I62" s="2">
        <v>0.15</v>
      </c>
      <c r="J62" s="3">
        <f t="shared" si="0"/>
        <v>1275</v>
      </c>
      <c r="K62" s="2" t="str">
        <f>TEXT(Table4[OrderDate], "mmmm")</f>
        <v>April</v>
      </c>
      <c r="L62" s="2">
        <f>IF(C62 = "", 0, IF(COUNTIF($C$2:C62, C62) = 1, 1, 0))</f>
        <v>0</v>
      </c>
    </row>
    <row r="63" spans="1:12" x14ac:dyDescent="0.25">
      <c r="A63" s="2">
        <v>1062</v>
      </c>
      <c r="B63" s="21" t="s">
        <v>65</v>
      </c>
      <c r="C63" s="2" t="s">
        <v>359</v>
      </c>
      <c r="D63" s="2" t="s">
        <v>375</v>
      </c>
      <c r="E63" s="2" t="s">
        <v>385</v>
      </c>
      <c r="F63" s="2" t="s">
        <v>390</v>
      </c>
      <c r="G63" s="2">
        <v>3</v>
      </c>
      <c r="H63" s="2">
        <v>2000</v>
      </c>
      <c r="I63" s="2">
        <v>0.05</v>
      </c>
      <c r="J63" s="3">
        <f t="shared" si="0"/>
        <v>5700</v>
      </c>
      <c r="K63" s="2" t="str">
        <f>TEXT(Table4[OrderDate], "mmmm")</f>
        <v>April</v>
      </c>
      <c r="L63" s="2">
        <f>IF(C63 = "", 0, IF(COUNTIF($C$2:C63, C63) = 1, 1, 0))</f>
        <v>0</v>
      </c>
    </row>
    <row r="64" spans="1:12" x14ac:dyDescent="0.25">
      <c r="A64" s="2">
        <v>1063</v>
      </c>
      <c r="B64" s="21" t="s">
        <v>66</v>
      </c>
      <c r="C64" s="2" t="s">
        <v>360</v>
      </c>
      <c r="D64" s="2" t="s">
        <v>376</v>
      </c>
      <c r="E64" s="2" t="s">
        <v>383</v>
      </c>
      <c r="F64" s="2" t="s">
        <v>390</v>
      </c>
      <c r="G64" s="2">
        <v>3</v>
      </c>
      <c r="H64" s="2">
        <v>1500</v>
      </c>
      <c r="I64" s="2">
        <v>0.1</v>
      </c>
      <c r="J64" s="3">
        <f t="shared" si="0"/>
        <v>4050</v>
      </c>
      <c r="K64" s="2" t="str">
        <f>TEXT(Table4[OrderDate], "mmmm")</f>
        <v>February</v>
      </c>
      <c r="L64" s="2">
        <f>IF(C64 = "", 0, IF(COUNTIF($C$2:C64, C64) = 1, 1, 0))</f>
        <v>0</v>
      </c>
    </row>
    <row r="65" spans="1:12" x14ac:dyDescent="0.25">
      <c r="A65" s="2">
        <v>1673</v>
      </c>
      <c r="B65" s="21" t="s">
        <v>217</v>
      </c>
      <c r="C65" s="2" t="s">
        <v>363</v>
      </c>
      <c r="D65" s="2" t="s">
        <v>380</v>
      </c>
      <c r="E65" s="2" t="s">
        <v>382</v>
      </c>
      <c r="F65" s="2" t="s">
        <v>389</v>
      </c>
      <c r="G65" s="2">
        <v>5</v>
      </c>
      <c r="H65" s="2">
        <v>50000</v>
      </c>
      <c r="I65" s="2">
        <v>0.1</v>
      </c>
      <c r="J65" s="3">
        <f t="shared" si="0"/>
        <v>225000</v>
      </c>
      <c r="K65" s="2" t="str">
        <f>TEXT(Table4[OrderDate], "mmmm")</f>
        <v>September</v>
      </c>
      <c r="L65" s="2">
        <f>IF(C65 = "", 0, IF(COUNTIF($C$2:C65, C65) = 1, 1, 0))</f>
        <v>0</v>
      </c>
    </row>
    <row r="66" spans="1:12" x14ac:dyDescent="0.25">
      <c r="A66" s="2">
        <v>1757</v>
      </c>
      <c r="B66" s="21" t="s">
        <v>90</v>
      </c>
      <c r="C66" s="2" t="s">
        <v>369</v>
      </c>
      <c r="D66" s="2" t="s">
        <v>380</v>
      </c>
      <c r="E66" s="2" t="s">
        <v>382</v>
      </c>
      <c r="F66" s="2" t="s">
        <v>389</v>
      </c>
      <c r="G66" s="2">
        <v>5</v>
      </c>
      <c r="H66" s="2">
        <v>50000</v>
      </c>
      <c r="I66" s="2">
        <v>0.1</v>
      </c>
      <c r="J66" s="3">
        <f t="shared" ref="J66:J129" si="2">H66*(1-I66)*G66</f>
        <v>225000</v>
      </c>
      <c r="K66" s="2" t="str">
        <f>TEXT(Table4[OrderDate], "mmmm")</f>
        <v>July</v>
      </c>
      <c r="L66" s="2">
        <f>IF(C66 = "", 0, IF(COUNTIF($C$2:C66, C66) = 1, 1, 0))</f>
        <v>0</v>
      </c>
    </row>
    <row r="67" spans="1:12" x14ac:dyDescent="0.25">
      <c r="A67" s="2">
        <v>1066</v>
      </c>
      <c r="B67" s="21" t="s">
        <v>69</v>
      </c>
      <c r="C67" s="2" t="s">
        <v>362</v>
      </c>
      <c r="D67" s="2" t="s">
        <v>378</v>
      </c>
      <c r="E67" s="2" t="s">
        <v>385</v>
      </c>
      <c r="F67" s="2" t="s">
        <v>390</v>
      </c>
      <c r="G67" s="2">
        <v>3</v>
      </c>
      <c r="H67" s="2">
        <v>2000</v>
      </c>
      <c r="I67" s="2">
        <v>0.15</v>
      </c>
      <c r="J67" s="3">
        <f t="shared" si="2"/>
        <v>5100</v>
      </c>
      <c r="K67" s="2" t="str">
        <f>TEXT(Table4[OrderDate], "mmmm")</f>
        <v>November</v>
      </c>
      <c r="L67" s="2">
        <f>IF(C67 = "", 0, IF(COUNTIF($C$2:C67, C67) = 1, 1, 0))</f>
        <v>0</v>
      </c>
    </row>
    <row r="68" spans="1:12" x14ac:dyDescent="0.25">
      <c r="A68" s="2">
        <v>1067</v>
      </c>
      <c r="B68" s="21" t="s">
        <v>70</v>
      </c>
      <c r="C68" s="2" t="s">
        <v>358</v>
      </c>
      <c r="D68" s="2" t="s">
        <v>374</v>
      </c>
      <c r="E68" s="2" t="s">
        <v>387</v>
      </c>
      <c r="F68" s="2" t="s">
        <v>391</v>
      </c>
      <c r="G68" s="2">
        <v>3</v>
      </c>
      <c r="H68" s="2">
        <v>3000</v>
      </c>
      <c r="I68" s="2">
        <v>0</v>
      </c>
      <c r="J68" s="3">
        <f t="shared" si="2"/>
        <v>9000</v>
      </c>
      <c r="K68" s="2" t="str">
        <f>TEXT(Table4[OrderDate], "mmmm")</f>
        <v>December</v>
      </c>
      <c r="L68" s="2">
        <f>IF(C68 = "", 0, IF(COUNTIF($C$2:C68, C68) = 1, 1, 0))</f>
        <v>0</v>
      </c>
    </row>
    <row r="69" spans="1:12" x14ac:dyDescent="0.25">
      <c r="A69" s="2">
        <v>1068</v>
      </c>
      <c r="B69" s="21" t="s">
        <v>66</v>
      </c>
      <c r="C69" s="2" t="s">
        <v>366</v>
      </c>
      <c r="D69" s="2" t="s">
        <v>376</v>
      </c>
      <c r="E69" s="2" t="s">
        <v>387</v>
      </c>
      <c r="F69" s="2" t="s">
        <v>391</v>
      </c>
      <c r="G69" s="2">
        <v>3</v>
      </c>
      <c r="H69" s="2">
        <v>3000</v>
      </c>
      <c r="I69" s="2">
        <v>0.15</v>
      </c>
      <c r="J69" s="3">
        <f t="shared" si="2"/>
        <v>7650</v>
      </c>
      <c r="K69" s="2" t="str">
        <f>TEXT(Table4[OrderDate], "mmmm")</f>
        <v>February</v>
      </c>
      <c r="L69" s="2">
        <f>IF(C69 = "", 0, IF(COUNTIF($C$2:C69, C69) = 1, 1, 0))</f>
        <v>1</v>
      </c>
    </row>
    <row r="70" spans="1:12" x14ac:dyDescent="0.25">
      <c r="A70" s="2">
        <v>1069</v>
      </c>
      <c r="B70" s="21" t="s">
        <v>71</v>
      </c>
      <c r="C70" s="2" t="s">
        <v>358</v>
      </c>
      <c r="D70" s="2" t="s">
        <v>376</v>
      </c>
      <c r="E70" s="2" t="s">
        <v>381</v>
      </c>
      <c r="F70" s="2" t="s">
        <v>389</v>
      </c>
      <c r="G70" s="2">
        <v>3</v>
      </c>
      <c r="H70" s="2">
        <v>20000</v>
      </c>
      <c r="I70" s="2">
        <v>0.1</v>
      </c>
      <c r="J70" s="3">
        <f t="shared" si="2"/>
        <v>54000</v>
      </c>
      <c r="K70" s="2" t="str">
        <f>TEXT(Table4[OrderDate], "mmmm")</f>
        <v>December</v>
      </c>
      <c r="L70" s="2">
        <f>IF(C70 = "", 0, IF(COUNTIF($C$2:C70, C70) = 1, 1, 0))</f>
        <v>0</v>
      </c>
    </row>
    <row r="71" spans="1:12" x14ac:dyDescent="0.25">
      <c r="A71" s="2">
        <v>1070</v>
      </c>
      <c r="B71" s="21" t="s">
        <v>72</v>
      </c>
      <c r="C71" s="2" t="s">
        <v>358</v>
      </c>
      <c r="D71" s="2" t="s">
        <v>378</v>
      </c>
      <c r="E71" s="2" t="s">
        <v>383</v>
      </c>
      <c r="F71" s="2" t="s">
        <v>390</v>
      </c>
      <c r="G71" s="2">
        <v>3</v>
      </c>
      <c r="H71" s="2">
        <v>1500</v>
      </c>
      <c r="I71" s="2">
        <v>0.05</v>
      </c>
      <c r="J71" s="3">
        <f t="shared" si="2"/>
        <v>4275</v>
      </c>
      <c r="K71" s="2" t="str">
        <f>TEXT(Table4[OrderDate], "mmmm")</f>
        <v>April</v>
      </c>
      <c r="L71" s="2">
        <f>IF(C71 = "", 0, IF(COUNTIF($C$2:C71, C71) = 1, 1, 0))</f>
        <v>0</v>
      </c>
    </row>
    <row r="72" spans="1:12" x14ac:dyDescent="0.25">
      <c r="A72" s="2">
        <v>1863</v>
      </c>
      <c r="B72" s="21" t="s">
        <v>187</v>
      </c>
      <c r="C72" s="2" t="s">
        <v>361</v>
      </c>
      <c r="D72" s="2" t="s">
        <v>376</v>
      </c>
      <c r="E72" s="2" t="s">
        <v>382</v>
      </c>
      <c r="F72" s="2" t="s">
        <v>389</v>
      </c>
      <c r="G72" s="2">
        <v>5</v>
      </c>
      <c r="H72" s="2">
        <v>50000</v>
      </c>
      <c r="I72" s="2">
        <v>0.1</v>
      </c>
      <c r="J72" s="3">
        <f t="shared" si="2"/>
        <v>225000</v>
      </c>
      <c r="K72" s="2" t="str">
        <f>TEXT(Table4[OrderDate], "mmmm")</f>
        <v>April</v>
      </c>
      <c r="L72" s="2">
        <f>IF(C72 = "", 0, IF(COUNTIF($C$2:C72, C72) = 1, 1, 0))</f>
        <v>0</v>
      </c>
    </row>
    <row r="73" spans="1:12" x14ac:dyDescent="0.25">
      <c r="A73" s="2">
        <v>1072</v>
      </c>
      <c r="B73" s="21" t="s">
        <v>74</v>
      </c>
      <c r="C73" s="2" t="s">
        <v>366</v>
      </c>
      <c r="D73" s="2" t="s">
        <v>380</v>
      </c>
      <c r="E73" s="2" t="s">
        <v>386</v>
      </c>
      <c r="F73" s="2" t="s">
        <v>391</v>
      </c>
      <c r="G73" s="2">
        <v>2</v>
      </c>
      <c r="H73" s="2">
        <v>7000</v>
      </c>
      <c r="I73" s="2">
        <v>0.15</v>
      </c>
      <c r="J73" s="3">
        <f t="shared" si="2"/>
        <v>11900</v>
      </c>
      <c r="K73" s="2" t="str">
        <f>TEXT(Table4[OrderDate], "mmmm")</f>
        <v>October</v>
      </c>
      <c r="L73" s="2">
        <f>IF(C73 = "", 0, IF(COUNTIF($C$2:C73, C73) = 1, 1, 0))</f>
        <v>0</v>
      </c>
    </row>
    <row r="74" spans="1:12" x14ac:dyDescent="0.25">
      <c r="A74" s="2">
        <v>1073</v>
      </c>
      <c r="B74" s="21" t="s">
        <v>75</v>
      </c>
      <c r="C74" s="2" t="s">
        <v>367</v>
      </c>
      <c r="D74" s="2" t="s">
        <v>373</v>
      </c>
      <c r="E74" s="2" t="s">
        <v>388</v>
      </c>
      <c r="F74" s="2" t="s">
        <v>389</v>
      </c>
      <c r="G74" s="2">
        <v>4</v>
      </c>
      <c r="H74" s="2">
        <v>12000</v>
      </c>
      <c r="I74" s="2">
        <v>0.05</v>
      </c>
      <c r="J74" s="3">
        <f t="shared" si="2"/>
        <v>45600</v>
      </c>
      <c r="K74" s="2" t="str">
        <f>TEXT(Table4[OrderDate], "mmmm")</f>
        <v>September</v>
      </c>
      <c r="L74" s="2">
        <f>IF(C74 = "", 0, IF(COUNTIF($C$2:C74, C74) = 1, 1, 0))</f>
        <v>0</v>
      </c>
    </row>
    <row r="75" spans="1:12" x14ac:dyDescent="0.25">
      <c r="A75" s="2">
        <v>1074</v>
      </c>
      <c r="B75" s="21" t="s">
        <v>56</v>
      </c>
      <c r="C75" s="2" t="s">
        <v>357</v>
      </c>
      <c r="D75" s="2" t="s">
        <v>379</v>
      </c>
      <c r="E75" s="2" t="s">
        <v>381</v>
      </c>
      <c r="F75" s="2" t="s">
        <v>389</v>
      </c>
      <c r="G75" s="2">
        <v>3</v>
      </c>
      <c r="H75" s="2">
        <v>20000</v>
      </c>
      <c r="I75" s="2">
        <v>0.1</v>
      </c>
      <c r="J75" s="3">
        <f t="shared" si="2"/>
        <v>54000</v>
      </c>
      <c r="K75" s="2" t="str">
        <f>TEXT(Table4[OrderDate], "mmmm")</f>
        <v>February</v>
      </c>
      <c r="L75" s="2">
        <f>IF(C75 = "", 0, IF(COUNTIF($C$2:C75, C75) = 1, 1, 0))</f>
        <v>0</v>
      </c>
    </row>
    <row r="76" spans="1:12" x14ac:dyDescent="0.25">
      <c r="A76" s="2">
        <v>1075</v>
      </c>
      <c r="B76" s="21" t="s">
        <v>76</v>
      </c>
      <c r="C76" s="2" t="s">
        <v>372</v>
      </c>
      <c r="D76" s="2" t="s">
        <v>375</v>
      </c>
      <c r="E76" s="2" t="s">
        <v>387</v>
      </c>
      <c r="F76" s="2" t="s">
        <v>391</v>
      </c>
      <c r="G76" s="2">
        <v>2</v>
      </c>
      <c r="H76" s="2">
        <v>3000</v>
      </c>
      <c r="I76" s="2">
        <v>0.05</v>
      </c>
      <c r="J76" s="3">
        <f t="shared" si="2"/>
        <v>5700</v>
      </c>
      <c r="K76" s="2" t="str">
        <f>TEXT(Table4[OrderDate], "mmmm")</f>
        <v>January</v>
      </c>
      <c r="L76" s="2">
        <f>IF(C76 = "", 0, IF(COUNTIF($C$2:C76, C76) = 1, 1, 0))</f>
        <v>0</v>
      </c>
    </row>
    <row r="77" spans="1:12" x14ac:dyDescent="0.25">
      <c r="A77" s="2">
        <v>1871</v>
      </c>
      <c r="B77" s="21" t="s">
        <v>69</v>
      </c>
      <c r="C77" s="2" t="s">
        <v>357</v>
      </c>
      <c r="D77" s="2" t="s">
        <v>375</v>
      </c>
      <c r="E77" s="2" t="s">
        <v>382</v>
      </c>
      <c r="F77" s="2" t="s">
        <v>389</v>
      </c>
      <c r="G77" s="2">
        <v>5</v>
      </c>
      <c r="H77" s="2">
        <v>50000</v>
      </c>
      <c r="I77" s="2">
        <v>0.1</v>
      </c>
      <c r="J77" s="3">
        <f t="shared" si="2"/>
        <v>225000</v>
      </c>
      <c r="K77" s="2" t="str">
        <f>TEXT(Table4[OrderDate], "mmmm")</f>
        <v>November</v>
      </c>
      <c r="L77" s="2">
        <f>IF(C77 = "", 0, IF(COUNTIF($C$2:C77, C77) = 1, 1, 0))</f>
        <v>0</v>
      </c>
    </row>
    <row r="78" spans="1:12" x14ac:dyDescent="0.25">
      <c r="A78" s="2">
        <v>1077</v>
      </c>
      <c r="B78" s="21" t="s">
        <v>38</v>
      </c>
      <c r="C78" s="2" t="s">
        <v>361</v>
      </c>
      <c r="D78" s="2" t="s">
        <v>374</v>
      </c>
      <c r="E78" s="2" t="s">
        <v>383</v>
      </c>
      <c r="F78" s="2" t="s">
        <v>390</v>
      </c>
      <c r="G78" s="2">
        <v>4</v>
      </c>
      <c r="H78" s="2">
        <v>1500</v>
      </c>
      <c r="I78" s="2">
        <v>0.15</v>
      </c>
      <c r="J78" s="3">
        <f t="shared" si="2"/>
        <v>5100</v>
      </c>
      <c r="K78" s="2" t="str">
        <f>TEXT(Table4[OrderDate], "mmmm")</f>
        <v>May</v>
      </c>
      <c r="L78" s="2">
        <f>IF(C78 = "", 0, IF(COUNTIF($C$2:C78, C78) = 1, 1, 0))</f>
        <v>0</v>
      </c>
    </row>
    <row r="79" spans="1:12" x14ac:dyDescent="0.25">
      <c r="A79" s="2">
        <v>1078</v>
      </c>
      <c r="B79" s="21" t="s">
        <v>78</v>
      </c>
      <c r="C79" s="2" t="s">
        <v>363</v>
      </c>
      <c r="D79" s="2" t="s">
        <v>374</v>
      </c>
      <c r="E79" s="2" t="s">
        <v>381</v>
      </c>
      <c r="F79" s="2" t="s">
        <v>389</v>
      </c>
      <c r="G79" s="2">
        <v>4</v>
      </c>
      <c r="H79" s="2">
        <v>20000</v>
      </c>
      <c r="I79" s="2">
        <v>0.05</v>
      </c>
      <c r="J79" s="3">
        <f t="shared" si="2"/>
        <v>76000</v>
      </c>
      <c r="K79" s="2" t="str">
        <f>TEXT(Table4[OrderDate], "mmmm")</f>
        <v>March</v>
      </c>
      <c r="L79" s="2">
        <f>IF(C79 = "", 0, IF(COUNTIF($C$2:C79, C79) = 1, 1, 0))</f>
        <v>0</v>
      </c>
    </row>
    <row r="80" spans="1:12" x14ac:dyDescent="0.25">
      <c r="A80" s="2">
        <v>1079</v>
      </c>
      <c r="B80" s="21" t="s">
        <v>79</v>
      </c>
      <c r="C80" s="2" t="s">
        <v>363</v>
      </c>
      <c r="D80" s="2" t="s">
        <v>376</v>
      </c>
      <c r="E80" s="2" t="s">
        <v>387</v>
      </c>
      <c r="F80" s="2" t="s">
        <v>391</v>
      </c>
      <c r="G80" s="2">
        <v>1</v>
      </c>
      <c r="H80" s="2">
        <v>3000</v>
      </c>
      <c r="I80" s="2">
        <v>0.15</v>
      </c>
      <c r="J80" s="3">
        <f t="shared" si="2"/>
        <v>2550</v>
      </c>
      <c r="K80" s="2" t="str">
        <f>TEXT(Table4[OrderDate], "mmmm")</f>
        <v>March</v>
      </c>
      <c r="L80" s="2">
        <f>IF(C80 = "", 0, IF(COUNTIF($C$2:C80, C80) = 1, 1, 0))</f>
        <v>0</v>
      </c>
    </row>
    <row r="81" spans="1:12" x14ac:dyDescent="0.25">
      <c r="A81" s="2">
        <v>1891</v>
      </c>
      <c r="B81" s="21" t="s">
        <v>252</v>
      </c>
      <c r="C81" s="2" t="s">
        <v>363</v>
      </c>
      <c r="D81" s="2" t="s">
        <v>380</v>
      </c>
      <c r="E81" s="2" t="s">
        <v>382</v>
      </c>
      <c r="F81" s="2" t="s">
        <v>389</v>
      </c>
      <c r="G81" s="2">
        <v>5</v>
      </c>
      <c r="H81" s="2">
        <v>50000</v>
      </c>
      <c r="I81" s="2">
        <v>0.1</v>
      </c>
      <c r="J81" s="3">
        <f t="shared" si="2"/>
        <v>225000</v>
      </c>
      <c r="K81" s="2" t="str">
        <f>TEXT(Table4[OrderDate], "mmmm")</f>
        <v>January</v>
      </c>
      <c r="L81" s="2">
        <f>IF(C81 = "", 0, IF(COUNTIF($C$2:C81, C81) = 1, 1, 0))</f>
        <v>0</v>
      </c>
    </row>
    <row r="82" spans="1:12" x14ac:dyDescent="0.25">
      <c r="A82" s="2">
        <v>1081</v>
      </c>
      <c r="B82" s="21" t="s">
        <v>81</v>
      </c>
      <c r="C82" s="2" t="s">
        <v>360</v>
      </c>
      <c r="D82" s="2" t="s">
        <v>380</v>
      </c>
      <c r="E82" s="2" t="s">
        <v>388</v>
      </c>
      <c r="F82" s="2" t="s">
        <v>389</v>
      </c>
      <c r="G82" s="2">
        <v>4</v>
      </c>
      <c r="H82" s="2">
        <v>12000</v>
      </c>
      <c r="I82" s="2">
        <v>0.1</v>
      </c>
      <c r="J82" s="3">
        <f t="shared" si="2"/>
        <v>43200</v>
      </c>
      <c r="K82" s="2" t="str">
        <f>TEXT(Table4[OrderDate], "mmmm")</f>
        <v>May</v>
      </c>
      <c r="L82" s="2">
        <f>IF(C82 = "", 0, IF(COUNTIF($C$2:C82, C82) = 1, 1, 0))</f>
        <v>0</v>
      </c>
    </row>
    <row r="83" spans="1:12" x14ac:dyDescent="0.25">
      <c r="A83" s="2">
        <v>1082</v>
      </c>
      <c r="B83" s="21" t="s">
        <v>82</v>
      </c>
      <c r="C83" s="2" t="s">
        <v>370</v>
      </c>
      <c r="D83" s="2" t="s">
        <v>375</v>
      </c>
      <c r="E83" s="2" t="s">
        <v>387</v>
      </c>
      <c r="F83" s="2" t="s">
        <v>391</v>
      </c>
      <c r="G83" s="2">
        <v>3</v>
      </c>
      <c r="H83" s="2">
        <v>3000</v>
      </c>
      <c r="I83" s="2">
        <v>0.15</v>
      </c>
      <c r="J83" s="3">
        <f t="shared" si="2"/>
        <v>7650</v>
      </c>
      <c r="K83" s="2" t="str">
        <f>TEXT(Table4[OrderDate], "mmmm")</f>
        <v>February</v>
      </c>
      <c r="L83" s="2">
        <f>IF(C83 = "", 0, IF(COUNTIF($C$2:C83, C83) = 1, 1, 0))</f>
        <v>0</v>
      </c>
    </row>
    <row r="84" spans="1:12" x14ac:dyDescent="0.25">
      <c r="A84" s="2">
        <v>1083</v>
      </c>
      <c r="B84" s="21" t="s">
        <v>83</v>
      </c>
      <c r="C84" s="2" t="s">
        <v>365</v>
      </c>
      <c r="D84" s="2" t="s">
        <v>373</v>
      </c>
      <c r="E84" s="2" t="s">
        <v>386</v>
      </c>
      <c r="F84" s="2" t="s">
        <v>391</v>
      </c>
      <c r="G84" s="2">
        <v>3</v>
      </c>
      <c r="H84" s="2">
        <v>7000</v>
      </c>
      <c r="I84" s="2">
        <v>0.1</v>
      </c>
      <c r="J84" s="3">
        <f t="shared" si="2"/>
        <v>18900</v>
      </c>
      <c r="K84" s="2" t="str">
        <f>TEXT(Table4[OrderDate], "mmmm")</f>
        <v>October</v>
      </c>
      <c r="L84" s="2">
        <f>IF(C84 = "", 0, IF(COUNTIF($C$2:C84, C84) = 1, 1, 0))</f>
        <v>0</v>
      </c>
    </row>
    <row r="85" spans="1:12" x14ac:dyDescent="0.25">
      <c r="A85" s="2">
        <v>1084</v>
      </c>
      <c r="B85" s="21" t="s">
        <v>84</v>
      </c>
      <c r="C85" s="2" t="s">
        <v>361</v>
      </c>
      <c r="D85" s="2" t="s">
        <v>375</v>
      </c>
      <c r="E85" s="2" t="s">
        <v>384</v>
      </c>
      <c r="F85" s="2" t="s">
        <v>389</v>
      </c>
      <c r="G85" s="2">
        <v>2</v>
      </c>
      <c r="H85" s="2">
        <v>30000</v>
      </c>
      <c r="I85" s="2">
        <v>0.15</v>
      </c>
      <c r="J85" s="3">
        <f t="shared" si="2"/>
        <v>51000</v>
      </c>
      <c r="K85" s="2" t="str">
        <f>TEXT(Table4[OrderDate], "mmmm")</f>
        <v>December</v>
      </c>
      <c r="L85" s="2">
        <f>IF(C85 = "", 0, IF(COUNTIF($C$2:C85, C85) = 1, 1, 0))</f>
        <v>0</v>
      </c>
    </row>
    <row r="86" spans="1:12" x14ac:dyDescent="0.25">
      <c r="A86" s="2">
        <v>1085</v>
      </c>
      <c r="B86" s="21" t="s">
        <v>85</v>
      </c>
      <c r="C86" s="2" t="s">
        <v>363</v>
      </c>
      <c r="D86" s="2" t="s">
        <v>378</v>
      </c>
      <c r="E86" s="2" t="s">
        <v>381</v>
      </c>
      <c r="F86" s="2" t="s">
        <v>389</v>
      </c>
      <c r="G86" s="2">
        <v>4</v>
      </c>
      <c r="H86" s="2">
        <v>20000</v>
      </c>
      <c r="I86" s="2">
        <v>0.15</v>
      </c>
      <c r="J86" s="3">
        <f t="shared" si="2"/>
        <v>68000</v>
      </c>
      <c r="K86" s="2" t="str">
        <f>TEXT(Table4[OrderDate], "mmmm")</f>
        <v>June</v>
      </c>
      <c r="L86" s="2">
        <f>IF(C86 = "", 0, IF(COUNTIF($C$2:C86, C86) = 1, 1, 0))</f>
        <v>0</v>
      </c>
    </row>
    <row r="87" spans="1:12" x14ac:dyDescent="0.25">
      <c r="A87" s="2">
        <v>1086</v>
      </c>
      <c r="B87" s="21" t="s">
        <v>86</v>
      </c>
      <c r="C87" s="2" t="s">
        <v>359</v>
      </c>
      <c r="D87" s="2" t="s">
        <v>378</v>
      </c>
      <c r="E87" s="2" t="s">
        <v>382</v>
      </c>
      <c r="F87" s="2" t="s">
        <v>389</v>
      </c>
      <c r="G87" s="2">
        <v>2</v>
      </c>
      <c r="H87" s="2">
        <v>50000</v>
      </c>
      <c r="I87" s="2">
        <v>0.15</v>
      </c>
      <c r="J87" s="3">
        <f t="shared" si="2"/>
        <v>85000</v>
      </c>
      <c r="K87" s="2" t="str">
        <f>TEXT(Table4[OrderDate], "mmmm")</f>
        <v>July</v>
      </c>
      <c r="L87" s="2">
        <f>IF(C87 = "", 0, IF(COUNTIF($C$2:C87, C87) = 1, 1, 0))</f>
        <v>0</v>
      </c>
    </row>
    <row r="88" spans="1:12" x14ac:dyDescent="0.25">
      <c r="A88" s="2">
        <v>1087</v>
      </c>
      <c r="B88" s="21" t="s">
        <v>87</v>
      </c>
      <c r="C88" s="2" t="s">
        <v>368</v>
      </c>
      <c r="D88" s="2" t="s">
        <v>378</v>
      </c>
      <c r="E88" s="2" t="s">
        <v>388</v>
      </c>
      <c r="F88" s="2" t="s">
        <v>389</v>
      </c>
      <c r="G88" s="2">
        <v>1</v>
      </c>
      <c r="H88" s="2">
        <v>12000</v>
      </c>
      <c r="I88" s="2">
        <v>0.1</v>
      </c>
      <c r="J88" s="3">
        <f t="shared" si="2"/>
        <v>10800</v>
      </c>
      <c r="K88" s="2" t="str">
        <f>TEXT(Table4[OrderDate], "mmmm")</f>
        <v>June</v>
      </c>
      <c r="L88" s="2">
        <f>IF(C88 = "", 0, IF(COUNTIF($C$2:C88, C88) = 1, 1, 0))</f>
        <v>0</v>
      </c>
    </row>
    <row r="89" spans="1:12" x14ac:dyDescent="0.25">
      <c r="A89" s="2">
        <v>1088</v>
      </c>
      <c r="B89" s="21" t="s">
        <v>88</v>
      </c>
      <c r="C89" s="2" t="s">
        <v>358</v>
      </c>
      <c r="D89" s="2" t="s">
        <v>380</v>
      </c>
      <c r="E89" s="2" t="s">
        <v>387</v>
      </c>
      <c r="F89" s="2" t="s">
        <v>391</v>
      </c>
      <c r="G89" s="2">
        <v>4</v>
      </c>
      <c r="H89" s="2">
        <v>3000</v>
      </c>
      <c r="I89" s="2">
        <v>0.05</v>
      </c>
      <c r="J89" s="3">
        <f t="shared" si="2"/>
        <v>11400</v>
      </c>
      <c r="K89" s="2" t="str">
        <f>TEXT(Table4[OrderDate], "mmmm")</f>
        <v>May</v>
      </c>
      <c r="L89" s="2">
        <f>IF(C89 = "", 0, IF(COUNTIF($C$2:C89, C89) = 1, 1, 0))</f>
        <v>0</v>
      </c>
    </row>
    <row r="90" spans="1:12" x14ac:dyDescent="0.25">
      <c r="A90" s="2">
        <v>1089</v>
      </c>
      <c r="B90" s="21" t="s">
        <v>89</v>
      </c>
      <c r="C90" s="2" t="s">
        <v>368</v>
      </c>
      <c r="D90" s="2" t="s">
        <v>373</v>
      </c>
      <c r="E90" s="2" t="s">
        <v>382</v>
      </c>
      <c r="F90" s="2" t="s">
        <v>389</v>
      </c>
      <c r="G90" s="2">
        <v>4</v>
      </c>
      <c r="H90" s="2">
        <v>50000</v>
      </c>
      <c r="I90" s="2">
        <v>0.1</v>
      </c>
      <c r="J90" s="3">
        <f t="shared" si="2"/>
        <v>180000</v>
      </c>
      <c r="K90" s="2" t="str">
        <f>TEXT(Table4[OrderDate], "mmmm")</f>
        <v>December</v>
      </c>
      <c r="L90" s="2">
        <f>IF(C90 = "", 0, IF(COUNTIF($C$2:C90, C90) = 1, 1, 0))</f>
        <v>0</v>
      </c>
    </row>
    <row r="91" spans="1:12" x14ac:dyDescent="0.25">
      <c r="A91" s="2">
        <v>1090</v>
      </c>
      <c r="B91" s="21" t="s">
        <v>90</v>
      </c>
      <c r="C91" s="2" t="s">
        <v>359</v>
      </c>
      <c r="D91" s="2" t="s">
        <v>377</v>
      </c>
      <c r="E91" s="2" t="s">
        <v>388</v>
      </c>
      <c r="F91" s="2" t="s">
        <v>389</v>
      </c>
      <c r="G91" s="2">
        <v>2</v>
      </c>
      <c r="H91" s="2">
        <v>12000</v>
      </c>
      <c r="I91" s="2">
        <v>0</v>
      </c>
      <c r="J91" s="3">
        <f t="shared" si="2"/>
        <v>24000</v>
      </c>
      <c r="K91" s="2" t="str">
        <f>TEXT(Table4[OrderDate], "mmmm")</f>
        <v>July</v>
      </c>
      <c r="L91" s="2">
        <f>IF(C91 = "", 0, IF(COUNTIF($C$2:C91, C91) = 1, 1, 0))</f>
        <v>0</v>
      </c>
    </row>
    <row r="92" spans="1:12" x14ac:dyDescent="0.25">
      <c r="A92" s="2">
        <v>1091</v>
      </c>
      <c r="B92" s="21" t="s">
        <v>42</v>
      </c>
      <c r="C92" s="2" t="s">
        <v>372</v>
      </c>
      <c r="D92" s="2" t="s">
        <v>379</v>
      </c>
      <c r="E92" s="2" t="s">
        <v>383</v>
      </c>
      <c r="F92" s="2" t="s">
        <v>390</v>
      </c>
      <c r="G92" s="2">
        <v>2</v>
      </c>
      <c r="H92" s="2">
        <v>1500</v>
      </c>
      <c r="I92" s="2">
        <v>0.15</v>
      </c>
      <c r="J92" s="3">
        <f t="shared" si="2"/>
        <v>2550</v>
      </c>
      <c r="K92" s="2" t="str">
        <f>TEXT(Table4[OrderDate], "mmmm")</f>
        <v>April</v>
      </c>
      <c r="L92" s="2">
        <f>IF(C92 = "", 0, IF(COUNTIF($C$2:C92, C92) = 1, 1, 0))</f>
        <v>0</v>
      </c>
    </row>
    <row r="93" spans="1:12" x14ac:dyDescent="0.25">
      <c r="A93" s="2">
        <v>1092</v>
      </c>
      <c r="B93" s="21" t="s">
        <v>19</v>
      </c>
      <c r="C93" s="2" t="s">
        <v>366</v>
      </c>
      <c r="D93" s="2" t="s">
        <v>376</v>
      </c>
      <c r="E93" s="2" t="s">
        <v>383</v>
      </c>
      <c r="F93" s="2" t="s">
        <v>390</v>
      </c>
      <c r="G93" s="2">
        <v>3</v>
      </c>
      <c r="H93" s="2">
        <v>1500</v>
      </c>
      <c r="I93" s="2">
        <v>0.05</v>
      </c>
      <c r="J93" s="3">
        <f t="shared" si="2"/>
        <v>4275</v>
      </c>
      <c r="K93" s="2" t="str">
        <f>TEXT(Table4[OrderDate], "mmmm")</f>
        <v>August</v>
      </c>
      <c r="L93" s="2">
        <f>IF(C93 = "", 0, IF(COUNTIF($C$2:C93, C93) = 1, 1, 0))</f>
        <v>0</v>
      </c>
    </row>
    <row r="94" spans="1:12" x14ac:dyDescent="0.25">
      <c r="A94" s="2">
        <v>1093</v>
      </c>
      <c r="B94" s="21" t="s">
        <v>91</v>
      </c>
      <c r="C94" s="2" t="s">
        <v>365</v>
      </c>
      <c r="D94" s="2" t="s">
        <v>380</v>
      </c>
      <c r="E94" s="2" t="s">
        <v>383</v>
      </c>
      <c r="F94" s="2" t="s">
        <v>390</v>
      </c>
      <c r="G94" s="2">
        <v>3</v>
      </c>
      <c r="H94" s="2">
        <v>1500</v>
      </c>
      <c r="I94" s="2">
        <v>0.15</v>
      </c>
      <c r="J94" s="3">
        <f t="shared" si="2"/>
        <v>3825</v>
      </c>
      <c r="K94" s="2" t="str">
        <f>TEXT(Table4[OrderDate], "mmmm")</f>
        <v>May</v>
      </c>
      <c r="L94" s="2">
        <f>IF(C94 = "", 0, IF(COUNTIF($C$2:C94, C94) = 1, 1, 0))</f>
        <v>0</v>
      </c>
    </row>
    <row r="95" spans="1:12" x14ac:dyDescent="0.25">
      <c r="A95" s="2">
        <v>1923</v>
      </c>
      <c r="B95" s="21" t="s">
        <v>296</v>
      </c>
      <c r="C95" s="2" t="s">
        <v>371</v>
      </c>
      <c r="D95" s="2" t="s">
        <v>376</v>
      </c>
      <c r="E95" s="2" t="s">
        <v>382</v>
      </c>
      <c r="F95" s="2" t="s">
        <v>389</v>
      </c>
      <c r="G95" s="2">
        <v>5</v>
      </c>
      <c r="H95" s="2">
        <v>50000</v>
      </c>
      <c r="I95" s="2">
        <v>0.1</v>
      </c>
      <c r="J95" s="3">
        <f t="shared" si="2"/>
        <v>225000</v>
      </c>
      <c r="K95" s="2" t="str">
        <f>TEXT(Table4[OrderDate], "mmmm")</f>
        <v>November</v>
      </c>
      <c r="L95" s="2">
        <f>IF(C95 = "", 0, IF(COUNTIF($C$2:C95, C95) = 1, 1, 0))</f>
        <v>0</v>
      </c>
    </row>
    <row r="96" spans="1:12" x14ac:dyDescent="0.25">
      <c r="A96" s="2">
        <v>1095</v>
      </c>
      <c r="B96" s="21" t="s">
        <v>93</v>
      </c>
      <c r="C96" s="2" t="s">
        <v>359</v>
      </c>
      <c r="D96" s="2" t="s">
        <v>373</v>
      </c>
      <c r="E96" s="2" t="s">
        <v>382</v>
      </c>
      <c r="F96" s="2" t="s">
        <v>389</v>
      </c>
      <c r="G96" s="2">
        <v>1</v>
      </c>
      <c r="H96" s="2">
        <v>50000</v>
      </c>
      <c r="I96" s="2">
        <v>0.05</v>
      </c>
      <c r="J96" s="3">
        <f t="shared" si="2"/>
        <v>47500</v>
      </c>
      <c r="K96" s="2" t="str">
        <f>TEXT(Table4[OrderDate], "mmmm")</f>
        <v>April</v>
      </c>
      <c r="L96" s="2">
        <f>IF(C96 = "", 0, IF(COUNTIF($C$2:C96, C96) = 1, 1, 0))</f>
        <v>0</v>
      </c>
    </row>
    <row r="97" spans="1:12" x14ac:dyDescent="0.25">
      <c r="A97" s="2">
        <v>1096</v>
      </c>
      <c r="B97" s="21" t="s">
        <v>89</v>
      </c>
      <c r="C97" s="2" t="s">
        <v>362</v>
      </c>
      <c r="D97" s="2" t="s">
        <v>375</v>
      </c>
      <c r="E97" s="2" t="s">
        <v>387</v>
      </c>
      <c r="F97" s="2" t="s">
        <v>391</v>
      </c>
      <c r="G97" s="2">
        <v>2</v>
      </c>
      <c r="H97" s="2">
        <v>3000</v>
      </c>
      <c r="I97" s="2">
        <v>0.15</v>
      </c>
      <c r="J97" s="3">
        <f t="shared" si="2"/>
        <v>5100</v>
      </c>
      <c r="K97" s="2" t="str">
        <f>TEXT(Table4[OrderDate], "mmmm")</f>
        <v>December</v>
      </c>
      <c r="L97" s="2">
        <f>IF(C97 = "", 0, IF(COUNTIF($C$2:C97, C97) = 1, 1, 0))</f>
        <v>0</v>
      </c>
    </row>
    <row r="98" spans="1:12" x14ac:dyDescent="0.25">
      <c r="A98" s="2">
        <v>1097</v>
      </c>
      <c r="B98" s="21" t="s">
        <v>43</v>
      </c>
      <c r="C98" s="2" t="s">
        <v>362</v>
      </c>
      <c r="D98" s="2" t="s">
        <v>373</v>
      </c>
      <c r="E98" s="2" t="s">
        <v>388</v>
      </c>
      <c r="F98" s="2" t="s">
        <v>389</v>
      </c>
      <c r="G98" s="2">
        <v>3</v>
      </c>
      <c r="H98" s="2">
        <v>12000</v>
      </c>
      <c r="I98" s="2">
        <v>0.1</v>
      </c>
      <c r="J98" s="3">
        <f t="shared" si="2"/>
        <v>32400</v>
      </c>
      <c r="K98" s="2" t="str">
        <f>TEXT(Table4[OrderDate], "mmmm")</f>
        <v>March</v>
      </c>
      <c r="L98" s="2">
        <f>IF(C98 = "", 0, IF(COUNTIF($C$2:C98, C98) = 1, 1, 0))</f>
        <v>0</v>
      </c>
    </row>
    <row r="99" spans="1:12" x14ac:dyDescent="0.25">
      <c r="A99" s="2">
        <v>1098</v>
      </c>
      <c r="B99" s="21" t="s">
        <v>35</v>
      </c>
      <c r="C99" s="2" t="s">
        <v>368</v>
      </c>
      <c r="D99" s="2" t="s">
        <v>378</v>
      </c>
      <c r="E99" s="2" t="s">
        <v>386</v>
      </c>
      <c r="F99" s="2" t="s">
        <v>391</v>
      </c>
      <c r="G99" s="2">
        <v>1</v>
      </c>
      <c r="H99" s="2">
        <v>7000</v>
      </c>
      <c r="I99" s="2">
        <v>0</v>
      </c>
      <c r="J99" s="3">
        <f t="shared" si="2"/>
        <v>7000</v>
      </c>
      <c r="K99" s="2" t="str">
        <f>TEXT(Table4[OrderDate], "mmmm")</f>
        <v>June</v>
      </c>
      <c r="L99" s="2">
        <f>IF(C99 = "", 0, IF(COUNTIF($C$2:C99, C99) = 1, 1, 0))</f>
        <v>0</v>
      </c>
    </row>
    <row r="100" spans="1:12" x14ac:dyDescent="0.25">
      <c r="A100" s="2">
        <v>1099</v>
      </c>
      <c r="B100" s="21" t="s">
        <v>94</v>
      </c>
      <c r="C100" s="2" t="s">
        <v>370</v>
      </c>
      <c r="D100" s="2" t="s">
        <v>377</v>
      </c>
      <c r="E100" s="2" t="s">
        <v>387</v>
      </c>
      <c r="F100" s="2" t="s">
        <v>391</v>
      </c>
      <c r="G100" s="2">
        <v>1</v>
      </c>
      <c r="H100" s="2">
        <v>3000</v>
      </c>
      <c r="I100" s="2">
        <v>0.05</v>
      </c>
      <c r="J100" s="3">
        <f t="shared" si="2"/>
        <v>2850</v>
      </c>
      <c r="K100" s="2" t="str">
        <f>TEXT(Table4[OrderDate], "mmmm")</f>
        <v>February</v>
      </c>
      <c r="L100" s="2">
        <f>IF(C100 = "", 0, IF(COUNTIF($C$2:C100, C100) = 1, 1, 0))</f>
        <v>0</v>
      </c>
    </row>
    <row r="101" spans="1:12" x14ac:dyDescent="0.25">
      <c r="A101" s="2">
        <v>1100</v>
      </c>
      <c r="B101" s="21" t="s">
        <v>95</v>
      </c>
      <c r="C101" s="2" t="s">
        <v>364</v>
      </c>
      <c r="D101" s="2" t="s">
        <v>377</v>
      </c>
      <c r="E101" s="2" t="s">
        <v>382</v>
      </c>
      <c r="F101" s="2" t="s">
        <v>389</v>
      </c>
      <c r="G101" s="2">
        <v>3</v>
      </c>
      <c r="H101" s="2">
        <v>50000</v>
      </c>
      <c r="I101" s="2">
        <v>0.15</v>
      </c>
      <c r="J101" s="3">
        <f t="shared" si="2"/>
        <v>127500</v>
      </c>
      <c r="K101" s="2" t="str">
        <f>TEXT(Table4[OrderDate], "mmmm")</f>
        <v>December</v>
      </c>
      <c r="L101" s="2">
        <f>IF(C101 = "", 0, IF(COUNTIF($C$2:C101, C101) = 1, 1, 0))</f>
        <v>0</v>
      </c>
    </row>
    <row r="102" spans="1:12" x14ac:dyDescent="0.25">
      <c r="A102" s="2">
        <v>1101</v>
      </c>
      <c r="B102" s="21" t="s">
        <v>96</v>
      </c>
      <c r="C102" s="2" t="s">
        <v>362</v>
      </c>
      <c r="D102" s="2" t="s">
        <v>378</v>
      </c>
      <c r="E102" s="2" t="s">
        <v>385</v>
      </c>
      <c r="F102" s="2" t="s">
        <v>390</v>
      </c>
      <c r="G102" s="2">
        <v>1</v>
      </c>
      <c r="H102" s="2">
        <v>2000</v>
      </c>
      <c r="I102" s="2">
        <v>0.15</v>
      </c>
      <c r="J102" s="3">
        <f t="shared" si="2"/>
        <v>1700</v>
      </c>
      <c r="K102" s="2" t="str">
        <f>TEXT(Table4[OrderDate], "mmmm")</f>
        <v>September</v>
      </c>
      <c r="L102" s="2">
        <f>IF(C102 = "", 0, IF(COUNTIF($C$2:C102, C102) = 1, 1, 0))</f>
        <v>0</v>
      </c>
    </row>
    <row r="103" spans="1:12" x14ac:dyDescent="0.25">
      <c r="A103" s="2">
        <v>1102</v>
      </c>
      <c r="B103" s="21" t="s">
        <v>30</v>
      </c>
      <c r="C103" s="2" t="s">
        <v>369</v>
      </c>
      <c r="D103" s="2" t="s">
        <v>379</v>
      </c>
      <c r="E103" s="2" t="s">
        <v>385</v>
      </c>
      <c r="F103" s="2" t="s">
        <v>390</v>
      </c>
      <c r="G103" s="2">
        <v>4</v>
      </c>
      <c r="H103" s="2">
        <v>2000</v>
      </c>
      <c r="I103" s="2">
        <v>0.05</v>
      </c>
      <c r="J103" s="3">
        <f t="shared" si="2"/>
        <v>7600</v>
      </c>
      <c r="K103" s="2" t="str">
        <f>TEXT(Table4[OrderDate], "mmmm")</f>
        <v>August</v>
      </c>
      <c r="L103" s="2">
        <f>IF(C103 = "", 0, IF(COUNTIF($C$2:C103, C103) = 1, 1, 0))</f>
        <v>0</v>
      </c>
    </row>
    <row r="104" spans="1:12" x14ac:dyDescent="0.25">
      <c r="A104" s="2">
        <v>1103</v>
      </c>
      <c r="B104" s="21" t="s">
        <v>97</v>
      </c>
      <c r="C104" s="2" t="s">
        <v>360</v>
      </c>
      <c r="D104" s="2" t="s">
        <v>376</v>
      </c>
      <c r="E104" s="2" t="s">
        <v>388</v>
      </c>
      <c r="F104" s="2" t="s">
        <v>389</v>
      </c>
      <c r="G104" s="2">
        <v>4</v>
      </c>
      <c r="H104" s="2">
        <v>12000</v>
      </c>
      <c r="I104" s="2">
        <v>0.15</v>
      </c>
      <c r="J104" s="3">
        <f t="shared" si="2"/>
        <v>40800</v>
      </c>
      <c r="K104" s="2" t="str">
        <f>TEXT(Table4[OrderDate], "mmmm")</f>
        <v>October</v>
      </c>
      <c r="L104" s="2">
        <f>IF(C104 = "", 0, IF(COUNTIF($C$2:C104, C104) = 1, 1, 0))</f>
        <v>0</v>
      </c>
    </row>
    <row r="105" spans="1:12" x14ac:dyDescent="0.25">
      <c r="A105" s="2">
        <v>1104</v>
      </c>
      <c r="B105" s="21" t="s">
        <v>98</v>
      </c>
      <c r="C105" s="2" t="s">
        <v>357</v>
      </c>
      <c r="D105" s="2" t="s">
        <v>380</v>
      </c>
      <c r="E105" s="2" t="s">
        <v>387</v>
      </c>
      <c r="F105" s="2" t="s">
        <v>391</v>
      </c>
      <c r="G105" s="2">
        <v>1</v>
      </c>
      <c r="H105" s="2">
        <v>3000</v>
      </c>
      <c r="I105" s="2">
        <v>0.1</v>
      </c>
      <c r="J105" s="3">
        <f t="shared" si="2"/>
        <v>2700</v>
      </c>
      <c r="K105" s="2" t="str">
        <f>TEXT(Table4[OrderDate], "mmmm")</f>
        <v>August</v>
      </c>
      <c r="L105" s="2">
        <f>IF(C105 = "", 0, IF(COUNTIF($C$2:C105, C105) = 1, 1, 0))</f>
        <v>0</v>
      </c>
    </row>
    <row r="106" spans="1:12" x14ac:dyDescent="0.25">
      <c r="A106" s="2">
        <v>1105</v>
      </c>
      <c r="B106" s="21" t="s">
        <v>99</v>
      </c>
      <c r="C106" s="2" t="s">
        <v>366</v>
      </c>
      <c r="D106" s="2" t="s">
        <v>373</v>
      </c>
      <c r="E106" s="2" t="s">
        <v>383</v>
      </c>
      <c r="F106" s="2" t="s">
        <v>390</v>
      </c>
      <c r="G106" s="2">
        <v>3</v>
      </c>
      <c r="H106" s="2">
        <v>1500</v>
      </c>
      <c r="I106" s="2">
        <v>0</v>
      </c>
      <c r="J106" s="3">
        <f t="shared" si="2"/>
        <v>4500</v>
      </c>
      <c r="K106" s="2" t="str">
        <f>TEXT(Table4[OrderDate], "mmmm")</f>
        <v>September</v>
      </c>
      <c r="L106" s="2">
        <f>IF(C106 = "", 0, IF(COUNTIF($C$2:C106, C106) = 1, 1, 0))</f>
        <v>0</v>
      </c>
    </row>
    <row r="107" spans="1:12" x14ac:dyDescent="0.25">
      <c r="A107" s="2">
        <v>1106</v>
      </c>
      <c r="B107" s="21" t="s">
        <v>100</v>
      </c>
      <c r="C107" s="2" t="s">
        <v>366</v>
      </c>
      <c r="D107" s="2" t="s">
        <v>379</v>
      </c>
      <c r="E107" s="2" t="s">
        <v>388</v>
      </c>
      <c r="F107" s="2" t="s">
        <v>389</v>
      </c>
      <c r="G107" s="2">
        <v>2</v>
      </c>
      <c r="H107" s="2">
        <v>12000</v>
      </c>
      <c r="I107" s="2">
        <v>0.1</v>
      </c>
      <c r="J107" s="3">
        <f t="shared" si="2"/>
        <v>21600</v>
      </c>
      <c r="K107" s="2" t="str">
        <f>TEXT(Table4[OrderDate], "mmmm")</f>
        <v>May</v>
      </c>
      <c r="L107" s="2">
        <f>IF(C107 = "", 0, IF(COUNTIF($C$2:C107, C107) = 1, 1, 0))</f>
        <v>0</v>
      </c>
    </row>
    <row r="108" spans="1:12" x14ac:dyDescent="0.25">
      <c r="A108" s="2">
        <v>1382</v>
      </c>
      <c r="B108" s="21" t="s">
        <v>39</v>
      </c>
      <c r="C108" s="2" t="s">
        <v>367</v>
      </c>
      <c r="D108" s="2" t="s">
        <v>374</v>
      </c>
      <c r="E108" s="2" t="s">
        <v>382</v>
      </c>
      <c r="F108" s="2" t="s">
        <v>389</v>
      </c>
      <c r="G108" s="2">
        <v>5</v>
      </c>
      <c r="H108" s="2">
        <v>50000</v>
      </c>
      <c r="I108" s="2">
        <v>0.15</v>
      </c>
      <c r="J108" s="3">
        <f t="shared" si="2"/>
        <v>212500</v>
      </c>
      <c r="K108" s="2" t="str">
        <f>TEXT(Table4[OrderDate], "mmmm")</f>
        <v>December</v>
      </c>
      <c r="L108" s="2">
        <f>IF(C108 = "", 0, IF(COUNTIF($C$2:C108, C108) = 1, 1, 0))</f>
        <v>0</v>
      </c>
    </row>
    <row r="109" spans="1:12" x14ac:dyDescent="0.25">
      <c r="A109" s="2">
        <v>1108</v>
      </c>
      <c r="B109" s="21" t="s">
        <v>102</v>
      </c>
      <c r="C109" s="2" t="s">
        <v>357</v>
      </c>
      <c r="D109" s="2" t="s">
        <v>380</v>
      </c>
      <c r="E109" s="2" t="s">
        <v>387</v>
      </c>
      <c r="F109" s="2" t="s">
        <v>391</v>
      </c>
      <c r="G109" s="2">
        <v>4</v>
      </c>
      <c r="H109" s="2">
        <v>3000</v>
      </c>
      <c r="I109" s="2">
        <v>0.15</v>
      </c>
      <c r="J109" s="3">
        <f t="shared" si="2"/>
        <v>10200</v>
      </c>
      <c r="K109" s="2" t="str">
        <f>TEXT(Table4[OrderDate], "mmmm")</f>
        <v>October</v>
      </c>
      <c r="L109" s="2">
        <f>IF(C109 = "", 0, IF(COUNTIF($C$2:C109, C109) = 1, 1, 0))</f>
        <v>0</v>
      </c>
    </row>
    <row r="110" spans="1:12" x14ac:dyDescent="0.25">
      <c r="A110" s="2">
        <v>1109</v>
      </c>
      <c r="B110" s="21" t="s">
        <v>56</v>
      </c>
      <c r="C110" s="2" t="s">
        <v>370</v>
      </c>
      <c r="D110" s="2" t="s">
        <v>375</v>
      </c>
      <c r="E110" s="2" t="s">
        <v>388</v>
      </c>
      <c r="F110" s="2" t="s">
        <v>389</v>
      </c>
      <c r="G110" s="2">
        <v>4</v>
      </c>
      <c r="H110" s="2">
        <v>12000</v>
      </c>
      <c r="I110" s="2">
        <v>0</v>
      </c>
      <c r="J110" s="3">
        <f t="shared" si="2"/>
        <v>48000</v>
      </c>
      <c r="K110" s="2" t="str">
        <f>TEXT(Table4[OrderDate], "mmmm")</f>
        <v>February</v>
      </c>
      <c r="L110" s="2">
        <f>IF(C110 = "", 0, IF(COUNTIF($C$2:C110, C110) = 1, 1, 0))</f>
        <v>0</v>
      </c>
    </row>
    <row r="111" spans="1:12" x14ac:dyDescent="0.25">
      <c r="A111" s="2">
        <v>1110</v>
      </c>
      <c r="B111" s="21" t="s">
        <v>53</v>
      </c>
      <c r="C111" s="2" t="s">
        <v>364</v>
      </c>
      <c r="D111" s="2" t="s">
        <v>380</v>
      </c>
      <c r="E111" s="2" t="s">
        <v>383</v>
      </c>
      <c r="F111" s="2" t="s">
        <v>390</v>
      </c>
      <c r="G111" s="2">
        <v>2</v>
      </c>
      <c r="H111" s="2">
        <v>1500</v>
      </c>
      <c r="I111" s="2">
        <v>0.1</v>
      </c>
      <c r="J111" s="3">
        <f t="shared" si="2"/>
        <v>2700</v>
      </c>
      <c r="K111" s="2" t="str">
        <f>TEXT(Table4[OrderDate], "mmmm")</f>
        <v>December</v>
      </c>
      <c r="L111" s="2">
        <f>IF(C111 = "", 0, IF(COUNTIF($C$2:C111, C111) = 1, 1, 0))</f>
        <v>0</v>
      </c>
    </row>
    <row r="112" spans="1:12" x14ac:dyDescent="0.25">
      <c r="A112" s="2">
        <v>1111</v>
      </c>
      <c r="B112" s="21" t="s">
        <v>103</v>
      </c>
      <c r="C112" s="2" t="s">
        <v>363</v>
      </c>
      <c r="D112" s="2" t="s">
        <v>379</v>
      </c>
      <c r="E112" s="2" t="s">
        <v>385</v>
      </c>
      <c r="F112" s="2" t="s">
        <v>390</v>
      </c>
      <c r="G112" s="2">
        <v>4</v>
      </c>
      <c r="H112" s="2">
        <v>2000</v>
      </c>
      <c r="I112" s="2">
        <v>0.1</v>
      </c>
      <c r="J112" s="3">
        <f t="shared" si="2"/>
        <v>7200</v>
      </c>
      <c r="K112" s="2" t="str">
        <f>TEXT(Table4[OrderDate], "mmmm")</f>
        <v>June</v>
      </c>
      <c r="L112" s="2">
        <f>IF(C112 = "", 0, IF(COUNTIF($C$2:C112, C112) = 1, 1, 0))</f>
        <v>0</v>
      </c>
    </row>
    <row r="113" spans="1:12" x14ac:dyDescent="0.25">
      <c r="A113" s="2">
        <v>1112</v>
      </c>
      <c r="B113" s="21" t="s">
        <v>36</v>
      </c>
      <c r="C113" s="2" t="s">
        <v>371</v>
      </c>
      <c r="D113" s="2" t="s">
        <v>376</v>
      </c>
      <c r="E113" s="2" t="s">
        <v>386</v>
      </c>
      <c r="F113" s="2" t="s">
        <v>391</v>
      </c>
      <c r="G113" s="2">
        <v>3</v>
      </c>
      <c r="H113" s="2">
        <v>7000</v>
      </c>
      <c r="I113" s="2">
        <v>0.05</v>
      </c>
      <c r="J113" s="3">
        <f t="shared" si="2"/>
        <v>19950</v>
      </c>
      <c r="K113" s="2" t="str">
        <f>TEXT(Table4[OrderDate], "mmmm")</f>
        <v>March</v>
      </c>
      <c r="L113" s="2">
        <f>IF(C113 = "", 0, IF(COUNTIF($C$2:C113, C113) = 1, 1, 0))</f>
        <v>0</v>
      </c>
    </row>
    <row r="114" spans="1:12" x14ac:dyDescent="0.25">
      <c r="A114" s="2">
        <v>1383</v>
      </c>
      <c r="B114" s="21" t="s">
        <v>252</v>
      </c>
      <c r="C114" s="2" t="s">
        <v>359</v>
      </c>
      <c r="D114" s="2" t="s">
        <v>379</v>
      </c>
      <c r="E114" s="2" t="s">
        <v>382</v>
      </c>
      <c r="F114" s="2" t="s">
        <v>389</v>
      </c>
      <c r="G114" s="2">
        <v>5</v>
      </c>
      <c r="H114" s="2">
        <v>50000</v>
      </c>
      <c r="I114" s="2">
        <v>0.15</v>
      </c>
      <c r="J114" s="3">
        <f t="shared" si="2"/>
        <v>212500</v>
      </c>
      <c r="K114" s="2" t="str">
        <f>TEXT(Table4[OrderDate], "mmmm")</f>
        <v>January</v>
      </c>
      <c r="L114" s="2">
        <f>IF(C114 = "", 0, IF(COUNTIF($C$2:C114, C114) = 1, 1, 0))</f>
        <v>0</v>
      </c>
    </row>
    <row r="115" spans="1:12" x14ac:dyDescent="0.25">
      <c r="A115" s="2">
        <v>1589</v>
      </c>
      <c r="B115" s="21" t="s">
        <v>95</v>
      </c>
      <c r="C115" s="2" t="s">
        <v>366</v>
      </c>
      <c r="D115" s="2" t="s">
        <v>373</v>
      </c>
      <c r="E115" s="2" t="s">
        <v>382</v>
      </c>
      <c r="F115" s="2" t="s">
        <v>389</v>
      </c>
      <c r="G115" s="2">
        <v>5</v>
      </c>
      <c r="H115" s="2">
        <v>50000</v>
      </c>
      <c r="I115" s="2">
        <v>0.15</v>
      </c>
      <c r="J115" s="3">
        <f t="shared" si="2"/>
        <v>212500</v>
      </c>
      <c r="K115" s="2" t="str">
        <f>TEXT(Table4[OrderDate], "mmmm")</f>
        <v>December</v>
      </c>
      <c r="L115" s="2">
        <f>IF(C115 = "", 0, IF(COUNTIF($C$2:C115, C115) = 1, 1, 0))</f>
        <v>0</v>
      </c>
    </row>
    <row r="116" spans="1:12" x14ac:dyDescent="0.25">
      <c r="A116" s="2">
        <v>1115</v>
      </c>
      <c r="B116" s="21" t="s">
        <v>105</v>
      </c>
      <c r="C116" s="2" t="s">
        <v>359</v>
      </c>
      <c r="D116" s="2" t="s">
        <v>373</v>
      </c>
      <c r="E116" s="2" t="s">
        <v>387</v>
      </c>
      <c r="F116" s="2" t="s">
        <v>391</v>
      </c>
      <c r="G116" s="2">
        <v>3</v>
      </c>
      <c r="H116" s="2">
        <v>3000</v>
      </c>
      <c r="I116" s="2">
        <v>0.05</v>
      </c>
      <c r="J116" s="3">
        <f t="shared" si="2"/>
        <v>8550</v>
      </c>
      <c r="K116" s="2" t="str">
        <f>TEXT(Table4[OrderDate], "mmmm")</f>
        <v>June</v>
      </c>
      <c r="L116" s="2">
        <f>IF(C116 = "", 0, IF(COUNTIF($C$2:C116, C116) = 1, 1, 0))</f>
        <v>0</v>
      </c>
    </row>
    <row r="117" spans="1:12" x14ac:dyDescent="0.25">
      <c r="A117" s="2">
        <v>1116</v>
      </c>
      <c r="B117" s="21" t="s">
        <v>54</v>
      </c>
      <c r="C117" s="2" t="s">
        <v>370</v>
      </c>
      <c r="D117" s="2" t="s">
        <v>373</v>
      </c>
      <c r="E117" s="2" t="s">
        <v>386</v>
      </c>
      <c r="F117" s="2" t="s">
        <v>391</v>
      </c>
      <c r="G117" s="2">
        <v>1</v>
      </c>
      <c r="H117" s="2">
        <v>7000</v>
      </c>
      <c r="I117" s="2">
        <v>0</v>
      </c>
      <c r="J117" s="3">
        <f t="shared" si="2"/>
        <v>7000</v>
      </c>
      <c r="K117" s="2" t="str">
        <f>TEXT(Table4[OrderDate], "mmmm")</f>
        <v>October</v>
      </c>
      <c r="L117" s="2">
        <f>IF(C117 = "", 0, IF(COUNTIF($C$2:C117, C117) = 1, 1, 0))</f>
        <v>0</v>
      </c>
    </row>
    <row r="118" spans="1:12" x14ac:dyDescent="0.25">
      <c r="A118" s="2">
        <v>1117</v>
      </c>
      <c r="B118" s="21" t="s">
        <v>106</v>
      </c>
      <c r="C118" s="2" t="s">
        <v>370</v>
      </c>
      <c r="D118" s="2" t="s">
        <v>380</v>
      </c>
      <c r="E118" s="2" t="s">
        <v>388</v>
      </c>
      <c r="F118" s="2" t="s">
        <v>389</v>
      </c>
      <c r="G118" s="2">
        <v>1</v>
      </c>
      <c r="H118" s="2">
        <v>12000</v>
      </c>
      <c r="I118" s="2">
        <v>0</v>
      </c>
      <c r="J118" s="3">
        <f t="shared" si="2"/>
        <v>12000</v>
      </c>
      <c r="K118" s="2" t="str">
        <f>TEXT(Table4[OrderDate], "mmmm")</f>
        <v>October</v>
      </c>
      <c r="L118" s="2">
        <f>IF(C118 = "", 0, IF(COUNTIF($C$2:C118, C118) = 1, 1, 0))</f>
        <v>0</v>
      </c>
    </row>
    <row r="119" spans="1:12" x14ac:dyDescent="0.25">
      <c r="A119" s="2">
        <v>1118</v>
      </c>
      <c r="B119" s="21" t="s">
        <v>107</v>
      </c>
      <c r="C119" s="2" t="s">
        <v>372</v>
      </c>
      <c r="D119" s="2" t="s">
        <v>379</v>
      </c>
      <c r="E119" s="2" t="s">
        <v>388</v>
      </c>
      <c r="F119" s="2" t="s">
        <v>389</v>
      </c>
      <c r="G119" s="2">
        <v>4</v>
      </c>
      <c r="H119" s="2">
        <v>12000</v>
      </c>
      <c r="I119" s="2">
        <v>0.1</v>
      </c>
      <c r="J119" s="3">
        <f t="shared" si="2"/>
        <v>43200</v>
      </c>
      <c r="K119" s="2" t="str">
        <f>TEXT(Table4[OrderDate], "mmmm")</f>
        <v>April</v>
      </c>
      <c r="L119" s="2">
        <f>IF(C119 = "", 0, IF(COUNTIF($C$2:C119, C119) = 1, 1, 0))</f>
        <v>0</v>
      </c>
    </row>
    <row r="120" spans="1:12" x14ac:dyDescent="0.25">
      <c r="A120" s="2">
        <v>1119</v>
      </c>
      <c r="B120" s="21" t="s">
        <v>23</v>
      </c>
      <c r="C120" s="2" t="s">
        <v>367</v>
      </c>
      <c r="D120" s="2" t="s">
        <v>377</v>
      </c>
      <c r="E120" s="2" t="s">
        <v>388</v>
      </c>
      <c r="F120" s="2" t="s">
        <v>389</v>
      </c>
      <c r="G120" s="2">
        <v>1</v>
      </c>
      <c r="H120" s="2">
        <v>12000</v>
      </c>
      <c r="I120" s="2">
        <v>0</v>
      </c>
      <c r="J120" s="3">
        <f t="shared" si="2"/>
        <v>12000</v>
      </c>
      <c r="K120" s="2" t="str">
        <f>TEXT(Table4[OrderDate], "mmmm")</f>
        <v>July</v>
      </c>
      <c r="L120" s="2">
        <f>IF(C120 = "", 0, IF(COUNTIF($C$2:C120, C120) = 1, 1, 0))</f>
        <v>0</v>
      </c>
    </row>
    <row r="121" spans="1:12" x14ac:dyDescent="0.25">
      <c r="A121" s="2">
        <v>1120</v>
      </c>
      <c r="B121" s="21" t="s">
        <v>108</v>
      </c>
      <c r="C121" s="2" t="s">
        <v>370</v>
      </c>
      <c r="D121" s="2" t="s">
        <v>377</v>
      </c>
      <c r="E121" s="2" t="s">
        <v>382</v>
      </c>
      <c r="F121" s="2" t="s">
        <v>389</v>
      </c>
      <c r="G121" s="2">
        <v>2</v>
      </c>
      <c r="H121" s="2">
        <v>50000</v>
      </c>
      <c r="I121" s="2">
        <v>0.05</v>
      </c>
      <c r="J121" s="3">
        <f t="shared" si="2"/>
        <v>95000</v>
      </c>
      <c r="K121" s="2" t="str">
        <f>TEXT(Table4[OrderDate], "mmmm")</f>
        <v>October</v>
      </c>
      <c r="L121" s="2">
        <f>IF(C121 = "", 0, IF(COUNTIF($C$2:C121, C121) = 1, 1, 0))</f>
        <v>0</v>
      </c>
    </row>
    <row r="122" spans="1:12" x14ac:dyDescent="0.25">
      <c r="A122" s="2">
        <v>1121</v>
      </c>
      <c r="B122" s="21" t="s">
        <v>69</v>
      </c>
      <c r="C122" s="2" t="s">
        <v>357</v>
      </c>
      <c r="D122" s="2" t="s">
        <v>378</v>
      </c>
      <c r="E122" s="2" t="s">
        <v>387</v>
      </c>
      <c r="F122" s="2" t="s">
        <v>391</v>
      </c>
      <c r="G122" s="2">
        <v>1</v>
      </c>
      <c r="H122" s="2">
        <v>3000</v>
      </c>
      <c r="I122" s="2">
        <v>0.15</v>
      </c>
      <c r="J122" s="3">
        <f t="shared" si="2"/>
        <v>2550</v>
      </c>
      <c r="K122" s="2" t="str">
        <f>TEXT(Table4[OrderDate], "mmmm")</f>
        <v>November</v>
      </c>
      <c r="L122" s="2">
        <f>IF(C122 = "", 0, IF(COUNTIF($C$2:C122, C122) = 1, 1, 0))</f>
        <v>0</v>
      </c>
    </row>
    <row r="123" spans="1:12" x14ac:dyDescent="0.25">
      <c r="A123" s="2">
        <v>1122</v>
      </c>
      <c r="B123" s="21" t="s">
        <v>13</v>
      </c>
      <c r="C123" s="2" t="s">
        <v>358</v>
      </c>
      <c r="D123" s="2" t="s">
        <v>379</v>
      </c>
      <c r="E123" s="2" t="s">
        <v>388</v>
      </c>
      <c r="F123" s="2" t="s">
        <v>389</v>
      </c>
      <c r="G123" s="2">
        <v>4</v>
      </c>
      <c r="H123" s="2">
        <v>12000</v>
      </c>
      <c r="I123" s="2">
        <v>0.1</v>
      </c>
      <c r="J123" s="3">
        <f t="shared" si="2"/>
        <v>43200</v>
      </c>
      <c r="K123" s="2" t="str">
        <f>TEXT(Table4[OrderDate], "mmmm")</f>
        <v>October</v>
      </c>
      <c r="L123" s="2">
        <f>IF(C123 = "", 0, IF(COUNTIF($C$2:C123, C123) = 1, 1, 0))</f>
        <v>0</v>
      </c>
    </row>
    <row r="124" spans="1:12" x14ac:dyDescent="0.25">
      <c r="A124" s="2">
        <v>1689</v>
      </c>
      <c r="B124" s="21" t="s">
        <v>283</v>
      </c>
      <c r="C124" s="2" t="s">
        <v>365</v>
      </c>
      <c r="D124" s="2" t="s">
        <v>379</v>
      </c>
      <c r="E124" s="2" t="s">
        <v>382</v>
      </c>
      <c r="F124" s="2" t="s">
        <v>389</v>
      </c>
      <c r="G124" s="2">
        <v>5</v>
      </c>
      <c r="H124" s="2">
        <v>50000</v>
      </c>
      <c r="I124" s="2">
        <v>0.15</v>
      </c>
      <c r="J124" s="3">
        <f t="shared" si="2"/>
        <v>212500</v>
      </c>
      <c r="K124" s="2" t="str">
        <f>TEXT(Table4[OrderDate], "mmmm")</f>
        <v>November</v>
      </c>
      <c r="L124" s="2">
        <f>IF(C124 = "", 0, IF(COUNTIF($C$2:C124, C124) = 1, 1, 0))</f>
        <v>0</v>
      </c>
    </row>
    <row r="125" spans="1:12" x14ac:dyDescent="0.25">
      <c r="A125" s="2">
        <v>1124</v>
      </c>
      <c r="B125" s="21" t="s">
        <v>110</v>
      </c>
      <c r="C125" s="2" t="s">
        <v>365</v>
      </c>
      <c r="D125" s="2" t="s">
        <v>373</v>
      </c>
      <c r="E125" s="2" t="s">
        <v>381</v>
      </c>
      <c r="F125" s="2" t="s">
        <v>389</v>
      </c>
      <c r="G125" s="2">
        <v>2</v>
      </c>
      <c r="H125" s="2">
        <v>20000</v>
      </c>
      <c r="I125" s="2">
        <v>0.05</v>
      </c>
      <c r="J125" s="3">
        <f t="shared" si="2"/>
        <v>38000</v>
      </c>
      <c r="K125" s="2" t="str">
        <f>TEXT(Table4[OrderDate], "mmmm")</f>
        <v>March</v>
      </c>
      <c r="L125" s="2">
        <f>IF(C125 = "", 0, IF(COUNTIF($C$2:C125, C125) = 1, 1, 0))</f>
        <v>0</v>
      </c>
    </row>
    <row r="126" spans="1:12" x14ac:dyDescent="0.25">
      <c r="A126" s="2">
        <v>1125</v>
      </c>
      <c r="B126" s="21" t="s">
        <v>111</v>
      </c>
      <c r="C126" s="2" t="s">
        <v>367</v>
      </c>
      <c r="D126" s="2" t="s">
        <v>379</v>
      </c>
      <c r="E126" s="2" t="s">
        <v>382</v>
      </c>
      <c r="F126" s="2" t="s">
        <v>389</v>
      </c>
      <c r="G126" s="2">
        <v>4</v>
      </c>
      <c r="H126" s="2">
        <v>50000</v>
      </c>
      <c r="I126" s="2">
        <v>0.15</v>
      </c>
      <c r="J126" s="3">
        <f t="shared" si="2"/>
        <v>170000</v>
      </c>
      <c r="K126" s="2" t="str">
        <f>TEXT(Table4[OrderDate], "mmmm")</f>
        <v>December</v>
      </c>
      <c r="L126" s="2">
        <f>IF(C126 = "", 0, IF(COUNTIF($C$2:C126, C126) = 1, 1, 0))</f>
        <v>0</v>
      </c>
    </row>
    <row r="127" spans="1:12" x14ac:dyDescent="0.25">
      <c r="A127" s="2">
        <v>1126</v>
      </c>
      <c r="B127" s="21" t="s">
        <v>112</v>
      </c>
      <c r="C127" s="2" t="s">
        <v>370</v>
      </c>
      <c r="D127" s="2" t="s">
        <v>380</v>
      </c>
      <c r="E127" s="2" t="s">
        <v>382</v>
      </c>
      <c r="F127" s="2" t="s">
        <v>389</v>
      </c>
      <c r="G127" s="2">
        <v>2</v>
      </c>
      <c r="H127" s="2">
        <v>50000</v>
      </c>
      <c r="I127" s="2">
        <v>0.1</v>
      </c>
      <c r="J127" s="3">
        <f t="shared" si="2"/>
        <v>90000</v>
      </c>
      <c r="K127" s="2" t="str">
        <f>TEXT(Table4[OrderDate], "mmmm")</f>
        <v>December</v>
      </c>
      <c r="L127" s="2">
        <f>IF(C127 = "", 0, IF(COUNTIF($C$2:C127, C127) = 1, 1, 0))</f>
        <v>0</v>
      </c>
    </row>
    <row r="128" spans="1:12" x14ac:dyDescent="0.25">
      <c r="A128" s="2">
        <v>1127</v>
      </c>
      <c r="B128" s="21" t="s">
        <v>113</v>
      </c>
      <c r="C128" s="2" t="s">
        <v>371</v>
      </c>
      <c r="D128" s="2" t="s">
        <v>378</v>
      </c>
      <c r="E128" s="2" t="s">
        <v>381</v>
      </c>
      <c r="F128" s="2" t="s">
        <v>389</v>
      </c>
      <c r="G128" s="2">
        <v>2</v>
      </c>
      <c r="H128" s="2">
        <v>20000</v>
      </c>
      <c r="I128" s="2">
        <v>0.1</v>
      </c>
      <c r="J128" s="3">
        <f t="shared" si="2"/>
        <v>36000</v>
      </c>
      <c r="K128" s="2" t="str">
        <f>TEXT(Table4[OrderDate], "mmmm")</f>
        <v>November</v>
      </c>
      <c r="L128" s="2">
        <f>IF(C128 = "", 0, IF(COUNTIF($C$2:C128, C128) = 1, 1, 0))</f>
        <v>0</v>
      </c>
    </row>
    <row r="129" spans="1:12" x14ac:dyDescent="0.25">
      <c r="A129" s="2">
        <v>1820</v>
      </c>
      <c r="B129" s="21" t="s">
        <v>342</v>
      </c>
      <c r="C129" s="2" t="s">
        <v>367</v>
      </c>
      <c r="D129" s="2" t="s">
        <v>379</v>
      </c>
      <c r="E129" s="2" t="s">
        <v>382</v>
      </c>
      <c r="F129" s="2" t="s">
        <v>389</v>
      </c>
      <c r="G129" s="2">
        <v>5</v>
      </c>
      <c r="H129" s="2">
        <v>50000</v>
      </c>
      <c r="I129" s="2">
        <v>0.15</v>
      </c>
      <c r="J129" s="3">
        <f t="shared" si="2"/>
        <v>212500</v>
      </c>
      <c r="K129" s="2" t="str">
        <f>TEXT(Table4[OrderDate], "mmmm")</f>
        <v>December</v>
      </c>
      <c r="L129" s="2">
        <f>IF(C129 = "", 0, IF(COUNTIF($C$2:C129, C129) = 1, 1, 0))</f>
        <v>0</v>
      </c>
    </row>
    <row r="130" spans="1:12" x14ac:dyDescent="0.25">
      <c r="A130" s="2">
        <v>1129</v>
      </c>
      <c r="B130" s="21" t="s">
        <v>115</v>
      </c>
      <c r="C130" s="2" t="s">
        <v>370</v>
      </c>
      <c r="D130" s="2" t="s">
        <v>379</v>
      </c>
      <c r="E130" s="2" t="s">
        <v>384</v>
      </c>
      <c r="F130" s="2" t="s">
        <v>389</v>
      </c>
      <c r="G130" s="2">
        <v>1</v>
      </c>
      <c r="H130" s="2">
        <v>30000</v>
      </c>
      <c r="I130" s="2">
        <v>0</v>
      </c>
      <c r="J130" s="3">
        <f t="shared" ref="J130:J193" si="3">H130*(1-I130)*G130</f>
        <v>30000</v>
      </c>
      <c r="K130" s="2" t="str">
        <f>TEXT(Table4[OrderDate], "mmmm")</f>
        <v>March</v>
      </c>
      <c r="L130" s="2">
        <f>IF(C130 = "", 0, IF(COUNTIF($C$2:C130, C130) = 1, 1, 0))</f>
        <v>0</v>
      </c>
    </row>
    <row r="131" spans="1:12" x14ac:dyDescent="0.25">
      <c r="A131" s="2">
        <v>1130</v>
      </c>
      <c r="B131" s="21" t="s">
        <v>111</v>
      </c>
      <c r="C131" s="2" t="s">
        <v>370</v>
      </c>
      <c r="D131" s="2" t="s">
        <v>378</v>
      </c>
      <c r="E131" s="2" t="s">
        <v>388</v>
      </c>
      <c r="F131" s="2" t="s">
        <v>389</v>
      </c>
      <c r="G131" s="2">
        <v>1</v>
      </c>
      <c r="H131" s="2">
        <v>12000</v>
      </c>
      <c r="I131" s="2">
        <v>0.15</v>
      </c>
      <c r="J131" s="3">
        <f t="shared" si="3"/>
        <v>10200</v>
      </c>
      <c r="K131" s="2" t="str">
        <f>TEXT(Table4[OrderDate], "mmmm")</f>
        <v>December</v>
      </c>
      <c r="L131" s="2">
        <f>IF(C131 = "", 0, IF(COUNTIF($C$2:C131, C131) = 1, 1, 0))</f>
        <v>0</v>
      </c>
    </row>
    <row r="132" spans="1:12" x14ac:dyDescent="0.25">
      <c r="A132" s="2">
        <v>1843</v>
      </c>
      <c r="B132" s="21" t="s">
        <v>274</v>
      </c>
      <c r="C132" s="2" t="s">
        <v>365</v>
      </c>
      <c r="D132" s="2" t="s">
        <v>378</v>
      </c>
      <c r="E132" s="2" t="s">
        <v>382</v>
      </c>
      <c r="F132" s="2" t="s">
        <v>389</v>
      </c>
      <c r="G132" s="2">
        <v>5</v>
      </c>
      <c r="H132" s="2">
        <v>50000</v>
      </c>
      <c r="I132" s="2">
        <v>0.15</v>
      </c>
      <c r="J132" s="3">
        <f t="shared" si="3"/>
        <v>212500</v>
      </c>
      <c r="K132" s="2" t="str">
        <f>TEXT(Table4[OrderDate], "mmmm")</f>
        <v>May</v>
      </c>
      <c r="L132" s="2">
        <f>IF(C132 = "", 0, IF(COUNTIF($C$2:C132, C132) = 1, 1, 0))</f>
        <v>0</v>
      </c>
    </row>
    <row r="133" spans="1:12" x14ac:dyDescent="0.25">
      <c r="A133" s="2">
        <v>1132</v>
      </c>
      <c r="B133" s="21" t="s">
        <v>117</v>
      </c>
      <c r="C133" s="2" t="s">
        <v>365</v>
      </c>
      <c r="D133" s="2" t="s">
        <v>375</v>
      </c>
      <c r="E133" s="2" t="s">
        <v>383</v>
      </c>
      <c r="F133" s="2" t="s">
        <v>390</v>
      </c>
      <c r="G133" s="2">
        <v>3</v>
      </c>
      <c r="H133" s="2">
        <v>1500</v>
      </c>
      <c r="I133" s="2">
        <v>0.1</v>
      </c>
      <c r="J133" s="3">
        <f t="shared" si="3"/>
        <v>4050</v>
      </c>
      <c r="K133" s="2" t="str">
        <f>TEXT(Table4[OrderDate], "mmmm")</f>
        <v>January</v>
      </c>
      <c r="L133" s="2">
        <f>IF(C133 = "", 0, IF(COUNTIF($C$2:C133, C133) = 1, 1, 0))</f>
        <v>0</v>
      </c>
    </row>
    <row r="134" spans="1:12" x14ac:dyDescent="0.25">
      <c r="A134" s="2">
        <v>1133</v>
      </c>
      <c r="B134" s="21" t="s">
        <v>118</v>
      </c>
      <c r="C134" s="2" t="s">
        <v>367</v>
      </c>
      <c r="D134" s="2" t="s">
        <v>380</v>
      </c>
      <c r="E134" s="2" t="s">
        <v>382</v>
      </c>
      <c r="F134" s="2" t="s">
        <v>389</v>
      </c>
      <c r="G134" s="2">
        <v>3</v>
      </c>
      <c r="H134" s="2">
        <v>50000</v>
      </c>
      <c r="I134" s="2">
        <v>0</v>
      </c>
      <c r="J134" s="3">
        <f t="shared" si="3"/>
        <v>150000</v>
      </c>
      <c r="K134" s="2" t="str">
        <f>TEXT(Table4[OrderDate], "mmmm")</f>
        <v>March</v>
      </c>
      <c r="L134" s="2">
        <f>IF(C134 = "", 0, IF(COUNTIF($C$2:C134, C134) = 1, 1, 0))</f>
        <v>0</v>
      </c>
    </row>
    <row r="135" spans="1:12" x14ac:dyDescent="0.25">
      <c r="A135" s="2">
        <v>1134</v>
      </c>
      <c r="B135" s="21" t="s">
        <v>119</v>
      </c>
      <c r="C135" s="2" t="s">
        <v>367</v>
      </c>
      <c r="D135" s="2" t="s">
        <v>377</v>
      </c>
      <c r="E135" s="2" t="s">
        <v>386</v>
      </c>
      <c r="F135" s="2" t="s">
        <v>391</v>
      </c>
      <c r="G135" s="2">
        <v>2</v>
      </c>
      <c r="H135" s="2">
        <v>7000</v>
      </c>
      <c r="I135" s="2">
        <v>0.15</v>
      </c>
      <c r="J135" s="3">
        <f t="shared" si="3"/>
        <v>11900</v>
      </c>
      <c r="K135" s="2" t="str">
        <f>TEXT(Table4[OrderDate], "mmmm")</f>
        <v>November</v>
      </c>
      <c r="L135" s="2">
        <f>IF(C135 = "", 0, IF(COUNTIF($C$2:C135, C135) = 1, 1, 0))</f>
        <v>0</v>
      </c>
    </row>
    <row r="136" spans="1:12" x14ac:dyDescent="0.25">
      <c r="A136" s="2">
        <v>1135</v>
      </c>
      <c r="B136" s="21" t="s">
        <v>120</v>
      </c>
      <c r="C136" s="2" t="s">
        <v>366</v>
      </c>
      <c r="D136" s="2" t="s">
        <v>377</v>
      </c>
      <c r="E136" s="2" t="s">
        <v>388</v>
      </c>
      <c r="F136" s="2" t="s">
        <v>389</v>
      </c>
      <c r="G136" s="2">
        <v>3</v>
      </c>
      <c r="H136" s="2">
        <v>12000</v>
      </c>
      <c r="I136" s="2">
        <v>0.15</v>
      </c>
      <c r="J136" s="3">
        <f t="shared" si="3"/>
        <v>30600</v>
      </c>
      <c r="K136" s="2" t="str">
        <f>TEXT(Table4[OrderDate], "mmmm")</f>
        <v>June</v>
      </c>
      <c r="L136" s="2">
        <f>IF(C136 = "", 0, IF(COUNTIF($C$2:C136, C136) = 1, 1, 0))</f>
        <v>0</v>
      </c>
    </row>
    <row r="137" spans="1:12" x14ac:dyDescent="0.25">
      <c r="A137" s="2">
        <v>1136</v>
      </c>
      <c r="B137" s="21" t="s">
        <v>84</v>
      </c>
      <c r="C137" s="2" t="s">
        <v>367</v>
      </c>
      <c r="D137" s="2" t="s">
        <v>379</v>
      </c>
      <c r="E137" s="2" t="s">
        <v>384</v>
      </c>
      <c r="F137" s="2" t="s">
        <v>389</v>
      </c>
      <c r="G137" s="2">
        <v>3</v>
      </c>
      <c r="H137" s="2">
        <v>30000</v>
      </c>
      <c r="I137" s="2">
        <v>0.15</v>
      </c>
      <c r="J137" s="3">
        <f t="shared" si="3"/>
        <v>76500</v>
      </c>
      <c r="K137" s="2" t="str">
        <f>TEXT(Table4[OrderDate], "mmmm")</f>
        <v>December</v>
      </c>
      <c r="L137" s="2">
        <f>IF(C137 = "", 0, IF(COUNTIF($C$2:C137, C137) = 1, 1, 0))</f>
        <v>0</v>
      </c>
    </row>
    <row r="138" spans="1:12" x14ac:dyDescent="0.25">
      <c r="A138" s="2">
        <v>1958</v>
      </c>
      <c r="B138" s="21" t="s">
        <v>266</v>
      </c>
      <c r="C138" s="2" t="s">
        <v>364</v>
      </c>
      <c r="D138" s="2" t="s">
        <v>377</v>
      </c>
      <c r="E138" s="2" t="s">
        <v>382</v>
      </c>
      <c r="F138" s="2" t="s">
        <v>389</v>
      </c>
      <c r="G138" s="2">
        <v>5</v>
      </c>
      <c r="H138" s="2">
        <v>50000</v>
      </c>
      <c r="I138" s="2">
        <v>0.15</v>
      </c>
      <c r="J138" s="3">
        <f t="shared" si="3"/>
        <v>212500</v>
      </c>
      <c r="K138" s="2" t="str">
        <f>TEXT(Table4[OrderDate], "mmmm")</f>
        <v>December</v>
      </c>
      <c r="L138" s="2">
        <f>IF(C138 = "", 0, IF(COUNTIF($C$2:C138, C138) = 1, 1, 0))</f>
        <v>0</v>
      </c>
    </row>
    <row r="139" spans="1:12" x14ac:dyDescent="0.25">
      <c r="A139" s="2">
        <v>1138</v>
      </c>
      <c r="B139" s="21" t="s">
        <v>121</v>
      </c>
      <c r="C139" s="2" t="s">
        <v>359</v>
      </c>
      <c r="D139" s="2" t="s">
        <v>380</v>
      </c>
      <c r="E139" s="2" t="s">
        <v>386</v>
      </c>
      <c r="F139" s="2" t="s">
        <v>391</v>
      </c>
      <c r="G139" s="2">
        <v>3</v>
      </c>
      <c r="H139" s="2">
        <v>7000</v>
      </c>
      <c r="I139" s="2">
        <v>0</v>
      </c>
      <c r="J139" s="3">
        <f t="shared" si="3"/>
        <v>21000</v>
      </c>
      <c r="K139" s="2" t="str">
        <f>TEXT(Table4[OrderDate], "mmmm")</f>
        <v>July</v>
      </c>
      <c r="L139" s="2">
        <f>IF(C139 = "", 0, IF(COUNTIF($C$2:C139, C139) = 1, 1, 0))</f>
        <v>0</v>
      </c>
    </row>
    <row r="140" spans="1:12" x14ac:dyDescent="0.25">
      <c r="A140" s="2">
        <v>1139</v>
      </c>
      <c r="B140" s="21" t="s">
        <v>122</v>
      </c>
      <c r="C140" s="2" t="s">
        <v>364</v>
      </c>
      <c r="D140" s="2" t="s">
        <v>380</v>
      </c>
      <c r="E140" s="2" t="s">
        <v>383</v>
      </c>
      <c r="F140" s="2" t="s">
        <v>390</v>
      </c>
      <c r="G140" s="2">
        <v>1</v>
      </c>
      <c r="H140" s="2">
        <v>1500</v>
      </c>
      <c r="I140" s="2">
        <v>0.05</v>
      </c>
      <c r="J140" s="3">
        <f t="shared" si="3"/>
        <v>1425</v>
      </c>
      <c r="K140" s="2" t="str">
        <f>TEXT(Table4[OrderDate], "mmmm")</f>
        <v>September</v>
      </c>
      <c r="L140" s="2">
        <f>IF(C140 = "", 0, IF(COUNTIF($C$2:C140, C140) = 1, 1, 0))</f>
        <v>0</v>
      </c>
    </row>
    <row r="141" spans="1:12" x14ac:dyDescent="0.25">
      <c r="A141" s="2">
        <v>1140</v>
      </c>
      <c r="B141" s="21" t="s">
        <v>63</v>
      </c>
      <c r="C141" s="2" t="s">
        <v>361</v>
      </c>
      <c r="D141" s="2" t="s">
        <v>379</v>
      </c>
      <c r="E141" s="2" t="s">
        <v>388</v>
      </c>
      <c r="F141" s="2" t="s">
        <v>389</v>
      </c>
      <c r="G141" s="2">
        <v>1</v>
      </c>
      <c r="H141" s="2">
        <v>12000</v>
      </c>
      <c r="I141" s="2">
        <v>0.05</v>
      </c>
      <c r="J141" s="3">
        <f t="shared" si="3"/>
        <v>11400</v>
      </c>
      <c r="K141" s="2" t="str">
        <f>TEXT(Table4[OrderDate], "mmmm")</f>
        <v>May</v>
      </c>
      <c r="L141" s="2">
        <f>IF(C141 = "", 0, IF(COUNTIF($C$2:C141, C141) = 1, 1, 0))</f>
        <v>0</v>
      </c>
    </row>
    <row r="142" spans="1:12" x14ac:dyDescent="0.25">
      <c r="A142" s="2">
        <v>1141</v>
      </c>
      <c r="B142" s="21" t="s">
        <v>67</v>
      </c>
      <c r="C142" s="2" t="s">
        <v>357</v>
      </c>
      <c r="D142" s="2" t="s">
        <v>373</v>
      </c>
      <c r="E142" s="2" t="s">
        <v>388</v>
      </c>
      <c r="F142" s="2" t="s">
        <v>389</v>
      </c>
      <c r="G142" s="2">
        <v>4</v>
      </c>
      <c r="H142" s="2">
        <v>12000</v>
      </c>
      <c r="I142" s="2">
        <v>0</v>
      </c>
      <c r="J142" s="3">
        <f t="shared" si="3"/>
        <v>48000</v>
      </c>
      <c r="K142" s="2" t="str">
        <f>TEXT(Table4[OrderDate], "mmmm")</f>
        <v>January</v>
      </c>
      <c r="L142" s="2">
        <f>IF(C142 = "", 0, IF(COUNTIF($C$2:C142, C142) = 1, 1, 0))</f>
        <v>0</v>
      </c>
    </row>
    <row r="143" spans="1:12" x14ac:dyDescent="0.25">
      <c r="A143" s="2">
        <v>1992</v>
      </c>
      <c r="B143" s="21" t="s">
        <v>356</v>
      </c>
      <c r="C143" s="2" t="s">
        <v>358</v>
      </c>
      <c r="D143" s="2" t="s">
        <v>378</v>
      </c>
      <c r="E143" s="2" t="s">
        <v>382</v>
      </c>
      <c r="F143" s="2" t="s">
        <v>389</v>
      </c>
      <c r="G143" s="2">
        <v>5</v>
      </c>
      <c r="H143" s="2">
        <v>50000</v>
      </c>
      <c r="I143" s="2">
        <v>0.15</v>
      </c>
      <c r="J143" s="3">
        <f t="shared" si="3"/>
        <v>212500</v>
      </c>
      <c r="K143" s="2" t="str">
        <f>TEXT(Table4[OrderDate], "mmmm")</f>
        <v>September</v>
      </c>
      <c r="L143" s="2">
        <f>IF(C143 = "", 0, IF(COUNTIF($C$2:C143, C143) = 1, 1, 0))</f>
        <v>0</v>
      </c>
    </row>
    <row r="144" spans="1:12" x14ac:dyDescent="0.25">
      <c r="A144" s="2">
        <v>1143</v>
      </c>
      <c r="B144" s="21" t="s">
        <v>124</v>
      </c>
      <c r="C144" s="2" t="s">
        <v>361</v>
      </c>
      <c r="D144" s="2" t="s">
        <v>380</v>
      </c>
      <c r="E144" s="2" t="s">
        <v>387</v>
      </c>
      <c r="F144" s="2" t="s">
        <v>391</v>
      </c>
      <c r="G144" s="2">
        <v>1</v>
      </c>
      <c r="H144" s="2">
        <v>3000</v>
      </c>
      <c r="I144" s="2">
        <v>0.15</v>
      </c>
      <c r="J144" s="3">
        <f t="shared" si="3"/>
        <v>2550</v>
      </c>
      <c r="K144" s="2" t="str">
        <f>TEXT(Table4[OrderDate], "mmmm")</f>
        <v>March</v>
      </c>
      <c r="L144" s="2">
        <f>IF(C144 = "", 0, IF(COUNTIF($C$2:C144, C144) = 1, 1, 0))</f>
        <v>0</v>
      </c>
    </row>
    <row r="145" spans="1:12" x14ac:dyDescent="0.25">
      <c r="A145" s="2">
        <v>1420</v>
      </c>
      <c r="B145" s="21" t="s">
        <v>108</v>
      </c>
      <c r="C145" s="2" t="s">
        <v>368</v>
      </c>
      <c r="D145" s="2" t="s">
        <v>376</v>
      </c>
      <c r="E145" s="2" t="s">
        <v>384</v>
      </c>
      <c r="F145" s="2" t="s">
        <v>389</v>
      </c>
      <c r="G145" s="2">
        <v>5</v>
      </c>
      <c r="H145" s="2">
        <v>30000</v>
      </c>
      <c r="I145" s="2">
        <v>0</v>
      </c>
      <c r="J145" s="3">
        <f t="shared" si="3"/>
        <v>150000</v>
      </c>
      <c r="K145" s="2" t="str">
        <f>TEXT(Table4[OrderDate], "mmmm")</f>
        <v>October</v>
      </c>
      <c r="L145" s="2">
        <f>IF(C145 = "", 0, IF(COUNTIF($C$2:C145, C145) = 1, 1, 0))</f>
        <v>0</v>
      </c>
    </row>
    <row r="146" spans="1:12" x14ac:dyDescent="0.25">
      <c r="A146" s="2">
        <v>1145</v>
      </c>
      <c r="B146" s="21" t="s">
        <v>126</v>
      </c>
      <c r="C146" s="2" t="s">
        <v>371</v>
      </c>
      <c r="D146" s="2" t="s">
        <v>373</v>
      </c>
      <c r="E146" s="2" t="s">
        <v>387</v>
      </c>
      <c r="F146" s="2" t="s">
        <v>391</v>
      </c>
      <c r="G146" s="2">
        <v>4</v>
      </c>
      <c r="H146" s="2">
        <v>3000</v>
      </c>
      <c r="I146" s="2">
        <v>0.05</v>
      </c>
      <c r="J146" s="3">
        <f t="shared" si="3"/>
        <v>11400</v>
      </c>
      <c r="K146" s="2" t="str">
        <f>TEXT(Table4[OrderDate], "mmmm")</f>
        <v>July</v>
      </c>
      <c r="L146" s="2">
        <f>IF(C146 = "", 0, IF(COUNTIF($C$2:C146, C146) = 1, 1, 0))</f>
        <v>0</v>
      </c>
    </row>
    <row r="147" spans="1:12" x14ac:dyDescent="0.25">
      <c r="A147" s="2">
        <v>1146</v>
      </c>
      <c r="B147" s="21" t="s">
        <v>127</v>
      </c>
      <c r="C147" s="2" t="s">
        <v>360</v>
      </c>
      <c r="D147" s="2" t="s">
        <v>374</v>
      </c>
      <c r="E147" s="2" t="s">
        <v>381</v>
      </c>
      <c r="F147" s="2" t="s">
        <v>389</v>
      </c>
      <c r="G147" s="2">
        <v>3</v>
      </c>
      <c r="H147" s="2">
        <v>20000</v>
      </c>
      <c r="I147" s="2">
        <v>0.15</v>
      </c>
      <c r="J147" s="3">
        <f t="shared" si="3"/>
        <v>51000</v>
      </c>
      <c r="K147" s="2" t="str">
        <f>TEXT(Table4[OrderDate], "mmmm")</f>
        <v>June</v>
      </c>
      <c r="L147" s="2">
        <f>IF(C147 = "", 0, IF(COUNTIF($C$2:C147, C147) = 1, 1, 0))</f>
        <v>0</v>
      </c>
    </row>
    <row r="148" spans="1:12" x14ac:dyDescent="0.25">
      <c r="A148" s="2">
        <v>1147</v>
      </c>
      <c r="B148" s="21" t="s">
        <v>128</v>
      </c>
      <c r="C148" s="2" t="s">
        <v>363</v>
      </c>
      <c r="D148" s="2" t="s">
        <v>380</v>
      </c>
      <c r="E148" s="2" t="s">
        <v>386</v>
      </c>
      <c r="F148" s="2" t="s">
        <v>391</v>
      </c>
      <c r="G148" s="2">
        <v>3</v>
      </c>
      <c r="H148" s="2">
        <v>7000</v>
      </c>
      <c r="I148" s="2">
        <v>0.15</v>
      </c>
      <c r="J148" s="3">
        <f t="shared" si="3"/>
        <v>17850</v>
      </c>
      <c r="K148" s="2" t="str">
        <f>TEXT(Table4[OrderDate], "mmmm")</f>
        <v>March</v>
      </c>
      <c r="L148" s="2">
        <f>IF(C148 = "", 0, IF(COUNTIF($C$2:C148, C148) = 1, 1, 0))</f>
        <v>0</v>
      </c>
    </row>
    <row r="149" spans="1:12" x14ac:dyDescent="0.25">
      <c r="A149" s="2">
        <v>1148</v>
      </c>
      <c r="B149" s="21" t="s">
        <v>77</v>
      </c>
      <c r="C149" s="2" t="s">
        <v>366</v>
      </c>
      <c r="D149" s="2" t="s">
        <v>375</v>
      </c>
      <c r="E149" s="2" t="s">
        <v>385</v>
      </c>
      <c r="F149" s="2" t="s">
        <v>390</v>
      </c>
      <c r="G149" s="2">
        <v>3</v>
      </c>
      <c r="H149" s="2">
        <v>2000</v>
      </c>
      <c r="I149" s="2">
        <v>0.15</v>
      </c>
      <c r="J149" s="3">
        <f t="shared" si="3"/>
        <v>5100</v>
      </c>
      <c r="K149" s="2" t="str">
        <f>TEXT(Table4[OrderDate], "mmmm")</f>
        <v>August</v>
      </c>
      <c r="L149" s="2">
        <f>IF(C149 = "", 0, IF(COUNTIF($C$2:C149, C149) = 1, 1, 0))</f>
        <v>0</v>
      </c>
    </row>
    <row r="150" spans="1:12" x14ac:dyDescent="0.25">
      <c r="A150" s="2">
        <v>1566</v>
      </c>
      <c r="B150" s="21" t="s">
        <v>256</v>
      </c>
      <c r="C150" s="2" t="s">
        <v>362</v>
      </c>
      <c r="D150" s="2" t="s">
        <v>379</v>
      </c>
      <c r="E150" s="2" t="s">
        <v>384</v>
      </c>
      <c r="F150" s="2" t="s">
        <v>389</v>
      </c>
      <c r="G150" s="2">
        <v>5</v>
      </c>
      <c r="H150" s="2">
        <v>30000</v>
      </c>
      <c r="I150" s="2">
        <v>0</v>
      </c>
      <c r="J150" s="3">
        <f t="shared" si="3"/>
        <v>150000</v>
      </c>
      <c r="K150" s="2" t="str">
        <f>TEXT(Table4[OrderDate], "mmmm")</f>
        <v>February</v>
      </c>
      <c r="L150" s="2">
        <f>IF(C150 = "", 0, IF(COUNTIF($C$2:C150, C150) = 1, 1, 0))</f>
        <v>0</v>
      </c>
    </row>
    <row r="151" spans="1:12" x14ac:dyDescent="0.25">
      <c r="A151" s="2">
        <v>1150</v>
      </c>
      <c r="B151" s="21" t="s">
        <v>28</v>
      </c>
      <c r="C151" s="2" t="s">
        <v>361</v>
      </c>
      <c r="D151" s="2" t="s">
        <v>380</v>
      </c>
      <c r="E151" s="2" t="s">
        <v>385</v>
      </c>
      <c r="F151" s="2" t="s">
        <v>390</v>
      </c>
      <c r="G151" s="2">
        <v>4</v>
      </c>
      <c r="H151" s="2">
        <v>2000</v>
      </c>
      <c r="I151" s="2">
        <v>0.15</v>
      </c>
      <c r="J151" s="3">
        <f t="shared" si="3"/>
        <v>6800</v>
      </c>
      <c r="K151" s="2" t="str">
        <f>TEXT(Table4[OrderDate], "mmmm")</f>
        <v>July</v>
      </c>
      <c r="L151" s="2">
        <f>IF(C151 = "", 0, IF(COUNTIF($C$2:C151, C151) = 1, 1, 0))</f>
        <v>0</v>
      </c>
    </row>
    <row r="152" spans="1:12" x14ac:dyDescent="0.25">
      <c r="A152" s="2">
        <v>1151</v>
      </c>
      <c r="B152" s="21" t="s">
        <v>104</v>
      </c>
      <c r="C152" s="2" t="s">
        <v>363</v>
      </c>
      <c r="D152" s="2" t="s">
        <v>377</v>
      </c>
      <c r="E152" s="2" t="s">
        <v>382</v>
      </c>
      <c r="F152" s="2" t="s">
        <v>389</v>
      </c>
      <c r="G152" s="2">
        <v>2</v>
      </c>
      <c r="H152" s="2">
        <v>50000</v>
      </c>
      <c r="I152" s="2">
        <v>0.1</v>
      </c>
      <c r="J152" s="3">
        <f t="shared" si="3"/>
        <v>90000</v>
      </c>
      <c r="K152" s="2" t="str">
        <f>TEXT(Table4[OrderDate], "mmmm")</f>
        <v>February</v>
      </c>
      <c r="L152" s="2">
        <f>IF(C152 = "", 0, IF(COUNTIF($C$2:C152, C152) = 1, 1, 0))</f>
        <v>0</v>
      </c>
    </row>
    <row r="153" spans="1:12" x14ac:dyDescent="0.25">
      <c r="A153" s="2">
        <v>1152</v>
      </c>
      <c r="B153" s="21" t="s">
        <v>129</v>
      </c>
      <c r="C153" s="2" t="s">
        <v>361</v>
      </c>
      <c r="D153" s="2" t="s">
        <v>377</v>
      </c>
      <c r="E153" s="2" t="s">
        <v>388</v>
      </c>
      <c r="F153" s="2" t="s">
        <v>389</v>
      </c>
      <c r="G153" s="2">
        <v>1</v>
      </c>
      <c r="H153" s="2">
        <v>12000</v>
      </c>
      <c r="I153" s="2">
        <v>0.05</v>
      </c>
      <c r="J153" s="3">
        <f t="shared" si="3"/>
        <v>11400</v>
      </c>
      <c r="K153" s="2" t="str">
        <f>TEXT(Table4[OrderDate], "mmmm")</f>
        <v>July</v>
      </c>
      <c r="L153" s="2">
        <f>IF(C153 = "", 0, IF(COUNTIF($C$2:C153, C153) = 1, 1, 0))</f>
        <v>0</v>
      </c>
    </row>
    <row r="154" spans="1:12" x14ac:dyDescent="0.25">
      <c r="A154" s="2">
        <v>1153</v>
      </c>
      <c r="B154" s="21" t="s">
        <v>130</v>
      </c>
      <c r="C154" s="2" t="s">
        <v>368</v>
      </c>
      <c r="D154" s="2" t="s">
        <v>377</v>
      </c>
      <c r="E154" s="2" t="s">
        <v>388</v>
      </c>
      <c r="F154" s="2" t="s">
        <v>389</v>
      </c>
      <c r="G154" s="2">
        <v>3</v>
      </c>
      <c r="H154" s="2">
        <v>12000</v>
      </c>
      <c r="I154" s="2">
        <v>0.1</v>
      </c>
      <c r="J154" s="3">
        <f t="shared" si="3"/>
        <v>32400</v>
      </c>
      <c r="K154" s="2" t="str">
        <f>TEXT(Table4[OrderDate], "mmmm")</f>
        <v>November</v>
      </c>
      <c r="L154" s="2">
        <f>IF(C154 = "", 0, IF(COUNTIF($C$2:C154, C154) = 1, 1, 0))</f>
        <v>0</v>
      </c>
    </row>
    <row r="155" spans="1:12" x14ac:dyDescent="0.25">
      <c r="A155" s="2">
        <v>1575</v>
      </c>
      <c r="B155" s="21" t="s">
        <v>110</v>
      </c>
      <c r="C155" s="2" t="s">
        <v>371</v>
      </c>
      <c r="D155" s="2" t="s">
        <v>375</v>
      </c>
      <c r="E155" s="2" t="s">
        <v>384</v>
      </c>
      <c r="F155" s="2" t="s">
        <v>389</v>
      </c>
      <c r="G155" s="2">
        <v>5</v>
      </c>
      <c r="H155" s="2">
        <v>30000</v>
      </c>
      <c r="I155" s="2">
        <v>0</v>
      </c>
      <c r="J155" s="3">
        <f t="shared" si="3"/>
        <v>150000</v>
      </c>
      <c r="K155" s="2" t="str">
        <f>TEXT(Table4[OrderDate], "mmmm")</f>
        <v>March</v>
      </c>
      <c r="L155" s="2">
        <f>IF(C155 = "", 0, IF(COUNTIF($C$2:C155, C155) = 1, 1, 0))</f>
        <v>0</v>
      </c>
    </row>
    <row r="156" spans="1:12" x14ac:dyDescent="0.25">
      <c r="A156" s="2">
        <v>1155</v>
      </c>
      <c r="B156" s="21" t="s">
        <v>132</v>
      </c>
      <c r="C156" s="2" t="s">
        <v>365</v>
      </c>
      <c r="D156" s="2" t="s">
        <v>378</v>
      </c>
      <c r="E156" s="2" t="s">
        <v>381</v>
      </c>
      <c r="F156" s="2" t="s">
        <v>389</v>
      </c>
      <c r="G156" s="2">
        <v>2</v>
      </c>
      <c r="H156" s="2">
        <v>20000</v>
      </c>
      <c r="I156" s="2">
        <v>0.1</v>
      </c>
      <c r="J156" s="3">
        <f t="shared" si="3"/>
        <v>36000</v>
      </c>
      <c r="K156" s="2" t="str">
        <f>TEXT(Table4[OrderDate], "mmmm")</f>
        <v>April</v>
      </c>
      <c r="L156" s="2">
        <f>IF(C156 = "", 0, IF(COUNTIF($C$2:C156, C156) = 1, 1, 0))</f>
        <v>0</v>
      </c>
    </row>
    <row r="157" spans="1:12" x14ac:dyDescent="0.25">
      <c r="A157" s="2">
        <v>1156</v>
      </c>
      <c r="B157" s="21" t="s">
        <v>43</v>
      </c>
      <c r="C157" s="2" t="s">
        <v>370</v>
      </c>
      <c r="D157" s="2" t="s">
        <v>374</v>
      </c>
      <c r="E157" s="2" t="s">
        <v>381</v>
      </c>
      <c r="F157" s="2" t="s">
        <v>389</v>
      </c>
      <c r="G157" s="2">
        <v>1</v>
      </c>
      <c r="H157" s="2">
        <v>20000</v>
      </c>
      <c r="I157" s="2">
        <v>0.15</v>
      </c>
      <c r="J157" s="3">
        <f t="shared" si="3"/>
        <v>17000</v>
      </c>
      <c r="K157" s="2" t="str">
        <f>TEXT(Table4[OrderDate], "mmmm")</f>
        <v>March</v>
      </c>
      <c r="L157" s="2">
        <f>IF(C157 = "", 0, IF(COUNTIF($C$2:C157, C157) = 1, 1, 0))</f>
        <v>0</v>
      </c>
    </row>
    <row r="158" spans="1:12" x14ac:dyDescent="0.25">
      <c r="A158" s="2">
        <v>1157</v>
      </c>
      <c r="B158" s="21" t="s">
        <v>133</v>
      </c>
      <c r="C158" s="2" t="s">
        <v>364</v>
      </c>
      <c r="D158" s="2" t="s">
        <v>376</v>
      </c>
      <c r="E158" s="2" t="s">
        <v>382</v>
      </c>
      <c r="F158" s="2" t="s">
        <v>389</v>
      </c>
      <c r="G158" s="2">
        <v>3</v>
      </c>
      <c r="H158" s="2">
        <v>50000</v>
      </c>
      <c r="I158" s="2">
        <v>0</v>
      </c>
      <c r="J158" s="3">
        <f t="shared" si="3"/>
        <v>150000</v>
      </c>
      <c r="K158" s="2" t="str">
        <f>TEXT(Table4[OrderDate], "mmmm")</f>
        <v>May</v>
      </c>
      <c r="L158" s="2">
        <f>IF(C158 = "", 0, IF(COUNTIF($C$2:C158, C158) = 1, 1, 0))</f>
        <v>0</v>
      </c>
    </row>
    <row r="159" spans="1:12" x14ac:dyDescent="0.25">
      <c r="A159" s="2">
        <v>1158</v>
      </c>
      <c r="B159" s="21" t="s">
        <v>134</v>
      </c>
      <c r="C159" s="2" t="s">
        <v>358</v>
      </c>
      <c r="D159" s="2" t="s">
        <v>373</v>
      </c>
      <c r="E159" s="2" t="s">
        <v>383</v>
      </c>
      <c r="F159" s="2" t="s">
        <v>390</v>
      </c>
      <c r="G159" s="2">
        <v>2</v>
      </c>
      <c r="H159" s="2">
        <v>1500</v>
      </c>
      <c r="I159" s="2">
        <v>0.05</v>
      </c>
      <c r="J159" s="3">
        <f t="shared" si="3"/>
        <v>2850</v>
      </c>
      <c r="K159" s="2" t="str">
        <f>TEXT(Table4[OrderDate], "mmmm")</f>
        <v>September</v>
      </c>
      <c r="L159" s="2">
        <f>IF(C159 = "", 0, IF(COUNTIF($C$2:C159, C159) = 1, 1, 0))</f>
        <v>0</v>
      </c>
    </row>
    <row r="160" spans="1:12" x14ac:dyDescent="0.25">
      <c r="A160" s="2">
        <v>1159</v>
      </c>
      <c r="B160" s="21" t="s">
        <v>135</v>
      </c>
      <c r="C160" s="2" t="s">
        <v>368</v>
      </c>
      <c r="D160" s="2" t="s">
        <v>375</v>
      </c>
      <c r="E160" s="2" t="s">
        <v>384</v>
      </c>
      <c r="F160" s="2" t="s">
        <v>389</v>
      </c>
      <c r="G160" s="2">
        <v>2</v>
      </c>
      <c r="H160" s="2">
        <v>30000</v>
      </c>
      <c r="I160" s="2">
        <v>0</v>
      </c>
      <c r="J160" s="3">
        <f t="shared" si="3"/>
        <v>60000</v>
      </c>
      <c r="K160" s="2" t="str">
        <f>TEXT(Table4[OrderDate], "mmmm")</f>
        <v>November</v>
      </c>
      <c r="L160" s="2">
        <f>IF(C160 = "", 0, IF(COUNTIF($C$2:C160, C160) = 1, 1, 0))</f>
        <v>0</v>
      </c>
    </row>
    <row r="161" spans="1:12" x14ac:dyDescent="0.25">
      <c r="A161" s="2">
        <v>1633</v>
      </c>
      <c r="B161" s="21" t="s">
        <v>314</v>
      </c>
      <c r="C161" s="2" t="s">
        <v>369</v>
      </c>
      <c r="D161" s="2" t="s">
        <v>380</v>
      </c>
      <c r="E161" s="2" t="s">
        <v>384</v>
      </c>
      <c r="F161" s="2" t="s">
        <v>389</v>
      </c>
      <c r="G161" s="2">
        <v>5</v>
      </c>
      <c r="H161" s="2">
        <v>30000</v>
      </c>
      <c r="I161" s="2">
        <v>0</v>
      </c>
      <c r="J161" s="3">
        <f t="shared" si="3"/>
        <v>150000</v>
      </c>
      <c r="K161" s="2" t="str">
        <f>TEXT(Table4[OrderDate], "mmmm")</f>
        <v>January</v>
      </c>
      <c r="L161" s="2">
        <f>IF(C161 = "", 0, IF(COUNTIF($C$2:C161, C161) = 1, 1, 0))</f>
        <v>0</v>
      </c>
    </row>
    <row r="162" spans="1:12" x14ac:dyDescent="0.25">
      <c r="A162" s="2">
        <v>1161</v>
      </c>
      <c r="B162" s="21" t="s">
        <v>137</v>
      </c>
      <c r="C162" s="2" t="s">
        <v>370</v>
      </c>
      <c r="D162" s="2" t="s">
        <v>373</v>
      </c>
      <c r="E162" s="2" t="s">
        <v>388</v>
      </c>
      <c r="F162" s="2" t="s">
        <v>389</v>
      </c>
      <c r="G162" s="2">
        <v>3</v>
      </c>
      <c r="H162" s="2">
        <v>12000</v>
      </c>
      <c r="I162" s="2">
        <v>0</v>
      </c>
      <c r="J162" s="3">
        <f t="shared" si="3"/>
        <v>36000</v>
      </c>
      <c r="K162" s="2" t="str">
        <f>TEXT(Table4[OrderDate], "mmmm")</f>
        <v>August</v>
      </c>
      <c r="L162" s="2">
        <f>IF(C162 = "", 0, IF(COUNTIF($C$2:C162, C162) = 1, 1, 0))</f>
        <v>0</v>
      </c>
    </row>
    <row r="163" spans="1:12" x14ac:dyDescent="0.25">
      <c r="A163" s="2">
        <v>1162</v>
      </c>
      <c r="B163" s="21" t="s">
        <v>138</v>
      </c>
      <c r="C163" s="2" t="s">
        <v>370</v>
      </c>
      <c r="D163" s="2" t="s">
        <v>378</v>
      </c>
      <c r="E163" s="2" t="s">
        <v>381</v>
      </c>
      <c r="F163" s="2" t="s">
        <v>389</v>
      </c>
      <c r="G163" s="2">
        <v>4</v>
      </c>
      <c r="H163" s="2">
        <v>20000</v>
      </c>
      <c r="I163" s="2">
        <v>0.1</v>
      </c>
      <c r="J163" s="3">
        <f t="shared" si="3"/>
        <v>72000</v>
      </c>
      <c r="K163" s="2" t="str">
        <f>TEXT(Table4[OrderDate], "mmmm")</f>
        <v>October</v>
      </c>
      <c r="L163" s="2">
        <f>IF(C163 = "", 0, IF(COUNTIF($C$2:C163, C163) = 1, 1, 0))</f>
        <v>0</v>
      </c>
    </row>
    <row r="164" spans="1:12" x14ac:dyDescent="0.25">
      <c r="A164" s="2">
        <v>1163</v>
      </c>
      <c r="B164" s="21" t="s">
        <v>139</v>
      </c>
      <c r="C164" s="2" t="s">
        <v>368</v>
      </c>
      <c r="D164" s="2" t="s">
        <v>380</v>
      </c>
      <c r="E164" s="2" t="s">
        <v>386</v>
      </c>
      <c r="F164" s="2" t="s">
        <v>391</v>
      </c>
      <c r="G164" s="2">
        <v>4</v>
      </c>
      <c r="H164" s="2">
        <v>7000</v>
      </c>
      <c r="I164" s="2">
        <v>0.1</v>
      </c>
      <c r="J164" s="3">
        <f t="shared" si="3"/>
        <v>25200</v>
      </c>
      <c r="K164" s="2" t="str">
        <f>TEXT(Table4[OrderDate], "mmmm")</f>
        <v>April</v>
      </c>
      <c r="L164" s="2">
        <f>IF(C164 = "", 0, IF(COUNTIF($C$2:C164, C164) = 1, 1, 0))</f>
        <v>0</v>
      </c>
    </row>
    <row r="165" spans="1:12" x14ac:dyDescent="0.25">
      <c r="A165" s="2">
        <v>1164</v>
      </c>
      <c r="B165" s="21" t="s">
        <v>140</v>
      </c>
      <c r="C165" s="2" t="s">
        <v>364</v>
      </c>
      <c r="D165" s="2" t="s">
        <v>379</v>
      </c>
      <c r="E165" s="2" t="s">
        <v>381</v>
      </c>
      <c r="F165" s="2" t="s">
        <v>389</v>
      </c>
      <c r="G165" s="2">
        <v>2</v>
      </c>
      <c r="H165" s="2">
        <v>20000</v>
      </c>
      <c r="I165" s="2">
        <v>0.15</v>
      </c>
      <c r="J165" s="3">
        <f t="shared" si="3"/>
        <v>34000</v>
      </c>
      <c r="K165" s="2" t="str">
        <f>TEXT(Table4[OrderDate], "mmmm")</f>
        <v>October</v>
      </c>
      <c r="L165" s="2">
        <f>IF(C165 = "", 0, IF(COUNTIF($C$2:C165, C165) = 1, 1, 0))</f>
        <v>0</v>
      </c>
    </row>
    <row r="166" spans="1:12" x14ac:dyDescent="0.25">
      <c r="A166" s="2">
        <v>1165</v>
      </c>
      <c r="B166" s="21" t="s">
        <v>141</v>
      </c>
      <c r="C166" s="2" t="s">
        <v>359</v>
      </c>
      <c r="D166" s="2" t="s">
        <v>374</v>
      </c>
      <c r="E166" s="2" t="s">
        <v>386</v>
      </c>
      <c r="F166" s="2" t="s">
        <v>391</v>
      </c>
      <c r="G166" s="2">
        <v>1</v>
      </c>
      <c r="H166" s="2">
        <v>7000</v>
      </c>
      <c r="I166" s="2">
        <v>0.15</v>
      </c>
      <c r="J166" s="3">
        <f t="shared" si="3"/>
        <v>5950</v>
      </c>
      <c r="K166" s="2" t="str">
        <f>TEXT(Table4[OrderDate], "mmmm")</f>
        <v>May</v>
      </c>
      <c r="L166" s="2">
        <f>IF(C166 = "", 0, IF(COUNTIF($C$2:C166, C166) = 1, 1, 0))</f>
        <v>0</v>
      </c>
    </row>
    <row r="167" spans="1:12" x14ac:dyDescent="0.25">
      <c r="A167" s="2">
        <v>1166</v>
      </c>
      <c r="B167" s="21" t="s">
        <v>69</v>
      </c>
      <c r="C167" s="2" t="s">
        <v>364</v>
      </c>
      <c r="D167" s="2" t="s">
        <v>375</v>
      </c>
      <c r="E167" s="2" t="s">
        <v>388</v>
      </c>
      <c r="F167" s="2" t="s">
        <v>389</v>
      </c>
      <c r="G167" s="2">
        <v>3</v>
      </c>
      <c r="H167" s="2">
        <v>12000</v>
      </c>
      <c r="I167" s="2">
        <v>0.05</v>
      </c>
      <c r="J167" s="3">
        <f t="shared" si="3"/>
        <v>34200</v>
      </c>
      <c r="K167" s="2" t="str">
        <f>TEXT(Table4[OrderDate], "mmmm")</f>
        <v>November</v>
      </c>
      <c r="L167" s="2">
        <f>IF(C167 = "", 0, IF(COUNTIF($C$2:C167, C167) = 1, 1, 0))</f>
        <v>0</v>
      </c>
    </row>
    <row r="168" spans="1:12" x14ac:dyDescent="0.25">
      <c r="A168" s="2">
        <v>1663</v>
      </c>
      <c r="B168" s="21" t="s">
        <v>254</v>
      </c>
      <c r="C168" s="2" t="s">
        <v>372</v>
      </c>
      <c r="D168" s="2" t="s">
        <v>378</v>
      </c>
      <c r="E168" s="2" t="s">
        <v>384</v>
      </c>
      <c r="F168" s="2" t="s">
        <v>389</v>
      </c>
      <c r="G168" s="2">
        <v>5</v>
      </c>
      <c r="H168" s="2">
        <v>30000</v>
      </c>
      <c r="I168" s="2">
        <v>0</v>
      </c>
      <c r="J168" s="3">
        <f t="shared" si="3"/>
        <v>150000</v>
      </c>
      <c r="K168" s="2" t="str">
        <f>TEXT(Table4[OrderDate], "mmmm")</f>
        <v>July</v>
      </c>
      <c r="L168" s="2">
        <f>IF(C168 = "", 0, IF(COUNTIF($C$2:C168, C168) = 1, 1, 0))</f>
        <v>0</v>
      </c>
    </row>
    <row r="169" spans="1:12" x14ac:dyDescent="0.25">
      <c r="A169" s="2">
        <v>1168</v>
      </c>
      <c r="B169" s="21" t="s">
        <v>143</v>
      </c>
      <c r="C169" s="2" t="s">
        <v>364</v>
      </c>
      <c r="D169" s="2" t="s">
        <v>373</v>
      </c>
      <c r="E169" s="2" t="s">
        <v>382</v>
      </c>
      <c r="F169" s="2" t="s">
        <v>389</v>
      </c>
      <c r="G169" s="2">
        <v>3</v>
      </c>
      <c r="H169" s="2">
        <v>50000</v>
      </c>
      <c r="I169" s="2">
        <v>0.15</v>
      </c>
      <c r="J169" s="3">
        <f t="shared" si="3"/>
        <v>127500</v>
      </c>
      <c r="K169" s="2" t="str">
        <f>TEXT(Table4[OrderDate], "mmmm")</f>
        <v>January</v>
      </c>
      <c r="L169" s="2">
        <f>IF(C169 = "", 0, IF(COUNTIF($C$2:C169, C169) = 1, 1, 0))</f>
        <v>0</v>
      </c>
    </row>
    <row r="170" spans="1:12" x14ac:dyDescent="0.25">
      <c r="A170" s="2">
        <v>1169</v>
      </c>
      <c r="B170" s="21" t="s">
        <v>125</v>
      </c>
      <c r="C170" s="2" t="s">
        <v>369</v>
      </c>
      <c r="D170" s="2" t="s">
        <v>375</v>
      </c>
      <c r="E170" s="2" t="s">
        <v>381</v>
      </c>
      <c r="F170" s="2" t="s">
        <v>389</v>
      </c>
      <c r="G170" s="2">
        <v>3</v>
      </c>
      <c r="H170" s="2">
        <v>20000</v>
      </c>
      <c r="I170" s="2">
        <v>0.1</v>
      </c>
      <c r="J170" s="3">
        <f t="shared" si="3"/>
        <v>54000</v>
      </c>
      <c r="K170" s="2" t="str">
        <f>TEXT(Table4[OrderDate], "mmmm")</f>
        <v>July</v>
      </c>
      <c r="L170" s="2">
        <f>IF(C170 = "", 0, IF(COUNTIF($C$2:C170, C170) = 1, 1, 0))</f>
        <v>0</v>
      </c>
    </row>
    <row r="171" spans="1:12" x14ac:dyDescent="0.25">
      <c r="A171" s="2">
        <v>1675</v>
      </c>
      <c r="B171" s="21" t="s">
        <v>113</v>
      </c>
      <c r="C171" s="2" t="s">
        <v>365</v>
      </c>
      <c r="D171" s="2" t="s">
        <v>375</v>
      </c>
      <c r="E171" s="2" t="s">
        <v>384</v>
      </c>
      <c r="F171" s="2" t="s">
        <v>389</v>
      </c>
      <c r="G171" s="2">
        <v>5</v>
      </c>
      <c r="H171" s="2">
        <v>30000</v>
      </c>
      <c r="I171" s="2">
        <v>0</v>
      </c>
      <c r="J171" s="3">
        <f t="shared" si="3"/>
        <v>150000</v>
      </c>
      <c r="K171" s="2" t="str">
        <f>TEXT(Table4[OrderDate], "mmmm")</f>
        <v>November</v>
      </c>
      <c r="L171" s="2">
        <f>IF(C171 = "", 0, IF(COUNTIF($C$2:C171, C171) = 1, 1, 0))</f>
        <v>0</v>
      </c>
    </row>
    <row r="172" spans="1:12" x14ac:dyDescent="0.25">
      <c r="A172" s="2">
        <v>1171</v>
      </c>
      <c r="B172" s="21" t="s">
        <v>144</v>
      </c>
      <c r="C172" s="2" t="s">
        <v>362</v>
      </c>
      <c r="D172" s="2" t="s">
        <v>380</v>
      </c>
      <c r="E172" s="2" t="s">
        <v>386</v>
      </c>
      <c r="F172" s="2" t="s">
        <v>391</v>
      </c>
      <c r="G172" s="2">
        <v>4</v>
      </c>
      <c r="H172" s="2">
        <v>7000</v>
      </c>
      <c r="I172" s="2">
        <v>0.1</v>
      </c>
      <c r="J172" s="3">
        <f t="shared" si="3"/>
        <v>25200</v>
      </c>
      <c r="K172" s="2" t="str">
        <f>TEXT(Table4[OrderDate], "mmmm")</f>
        <v>June</v>
      </c>
      <c r="L172" s="2">
        <f>IF(C172 = "", 0, IF(COUNTIF($C$2:C172, C172) = 1, 1, 0))</f>
        <v>0</v>
      </c>
    </row>
    <row r="173" spans="1:12" x14ac:dyDescent="0.25">
      <c r="A173" s="2">
        <v>1172</v>
      </c>
      <c r="B173" s="21" t="s">
        <v>145</v>
      </c>
      <c r="C173" s="2" t="s">
        <v>368</v>
      </c>
      <c r="D173" s="2" t="s">
        <v>376</v>
      </c>
      <c r="E173" s="2" t="s">
        <v>381</v>
      </c>
      <c r="F173" s="2" t="s">
        <v>389</v>
      </c>
      <c r="G173" s="2">
        <v>2</v>
      </c>
      <c r="H173" s="2">
        <v>20000</v>
      </c>
      <c r="I173" s="2">
        <v>0.05</v>
      </c>
      <c r="J173" s="3">
        <f t="shared" si="3"/>
        <v>38000</v>
      </c>
      <c r="K173" s="2" t="str">
        <f>TEXT(Table4[OrderDate], "mmmm")</f>
        <v>December</v>
      </c>
      <c r="L173" s="2">
        <f>IF(C173 = "", 0, IF(COUNTIF($C$2:C173, C173) = 1, 1, 0))</f>
        <v>0</v>
      </c>
    </row>
    <row r="174" spans="1:12" x14ac:dyDescent="0.25">
      <c r="A174" s="2">
        <v>1173</v>
      </c>
      <c r="B174" s="21" t="s">
        <v>146</v>
      </c>
      <c r="C174" s="2" t="s">
        <v>362</v>
      </c>
      <c r="D174" s="2" t="s">
        <v>380</v>
      </c>
      <c r="E174" s="2" t="s">
        <v>381</v>
      </c>
      <c r="F174" s="2" t="s">
        <v>389</v>
      </c>
      <c r="G174" s="2">
        <v>4</v>
      </c>
      <c r="H174" s="2">
        <v>20000</v>
      </c>
      <c r="I174" s="2">
        <v>0</v>
      </c>
      <c r="J174" s="3">
        <f t="shared" si="3"/>
        <v>80000</v>
      </c>
      <c r="K174" s="2" t="str">
        <f>TEXT(Table4[OrderDate], "mmmm")</f>
        <v>May</v>
      </c>
      <c r="L174" s="2">
        <f>IF(C174 = "", 0, IF(COUNTIF($C$2:C174, C174) = 1, 1, 0))</f>
        <v>0</v>
      </c>
    </row>
    <row r="175" spans="1:12" x14ac:dyDescent="0.25">
      <c r="A175" s="2">
        <v>1174</v>
      </c>
      <c r="B175" s="21" t="s">
        <v>147</v>
      </c>
      <c r="C175" s="2" t="s">
        <v>364</v>
      </c>
      <c r="D175" s="2" t="s">
        <v>377</v>
      </c>
      <c r="E175" s="2" t="s">
        <v>385</v>
      </c>
      <c r="F175" s="2" t="s">
        <v>390</v>
      </c>
      <c r="G175" s="2">
        <v>3</v>
      </c>
      <c r="H175" s="2">
        <v>2000</v>
      </c>
      <c r="I175" s="2">
        <v>0.15</v>
      </c>
      <c r="J175" s="3">
        <f t="shared" si="3"/>
        <v>5100</v>
      </c>
      <c r="K175" s="2" t="str">
        <f>TEXT(Table4[OrderDate], "mmmm")</f>
        <v>November</v>
      </c>
      <c r="L175" s="2">
        <f>IF(C175 = "", 0, IF(COUNTIF($C$2:C175, C175) = 1, 1, 0))</f>
        <v>0</v>
      </c>
    </row>
    <row r="176" spans="1:12" x14ac:dyDescent="0.25">
      <c r="A176" s="2">
        <v>1175</v>
      </c>
      <c r="B176" s="21" t="s">
        <v>148</v>
      </c>
      <c r="C176" s="2" t="s">
        <v>366</v>
      </c>
      <c r="D176" s="2" t="s">
        <v>375</v>
      </c>
      <c r="E176" s="2" t="s">
        <v>387</v>
      </c>
      <c r="F176" s="2" t="s">
        <v>391</v>
      </c>
      <c r="G176" s="2">
        <v>4</v>
      </c>
      <c r="H176" s="2">
        <v>3000</v>
      </c>
      <c r="I176" s="2">
        <v>0</v>
      </c>
      <c r="J176" s="3">
        <f t="shared" si="3"/>
        <v>12000</v>
      </c>
      <c r="K176" s="2" t="str">
        <f>TEXT(Table4[OrderDate], "mmmm")</f>
        <v>November</v>
      </c>
      <c r="L176" s="2">
        <f>IF(C176 = "", 0, IF(COUNTIF($C$2:C176, C176) = 1, 1, 0))</f>
        <v>0</v>
      </c>
    </row>
    <row r="177" spans="1:12" x14ac:dyDescent="0.25">
      <c r="A177" s="2">
        <v>1176</v>
      </c>
      <c r="B177" s="21" t="s">
        <v>149</v>
      </c>
      <c r="C177" s="2" t="s">
        <v>358</v>
      </c>
      <c r="D177" s="2" t="s">
        <v>377</v>
      </c>
      <c r="E177" s="2" t="s">
        <v>381</v>
      </c>
      <c r="F177" s="2" t="s">
        <v>389</v>
      </c>
      <c r="G177" s="2">
        <v>4</v>
      </c>
      <c r="H177" s="2">
        <v>20000</v>
      </c>
      <c r="I177" s="2">
        <v>0.1</v>
      </c>
      <c r="J177" s="3">
        <f t="shared" si="3"/>
        <v>72000</v>
      </c>
      <c r="K177" s="2" t="str">
        <f>TEXT(Table4[OrderDate], "mmmm")</f>
        <v>November</v>
      </c>
      <c r="L177" s="2">
        <f>IF(C177 = "", 0, IF(COUNTIF($C$2:C177, C177) = 1, 1, 0))</f>
        <v>0</v>
      </c>
    </row>
    <row r="178" spans="1:12" x14ac:dyDescent="0.25">
      <c r="A178" s="2">
        <v>1177</v>
      </c>
      <c r="B178" s="21" t="s">
        <v>150</v>
      </c>
      <c r="C178" s="2" t="s">
        <v>367</v>
      </c>
      <c r="D178" s="2" t="s">
        <v>377</v>
      </c>
      <c r="E178" s="2" t="s">
        <v>384</v>
      </c>
      <c r="F178" s="2" t="s">
        <v>389</v>
      </c>
      <c r="G178" s="2">
        <v>1</v>
      </c>
      <c r="H178" s="2">
        <v>30000</v>
      </c>
      <c r="I178" s="2">
        <v>0</v>
      </c>
      <c r="J178" s="3">
        <f t="shared" si="3"/>
        <v>30000</v>
      </c>
      <c r="K178" s="2" t="str">
        <f>TEXT(Table4[OrderDate], "mmmm")</f>
        <v>June</v>
      </c>
      <c r="L178" s="2">
        <f>IF(C178 = "", 0, IF(COUNTIF($C$2:C178, C178) = 1, 1, 0))</f>
        <v>0</v>
      </c>
    </row>
    <row r="179" spans="1:12" x14ac:dyDescent="0.25">
      <c r="A179" s="2">
        <v>1178</v>
      </c>
      <c r="B179" s="21" t="s">
        <v>151</v>
      </c>
      <c r="C179" s="2" t="s">
        <v>363</v>
      </c>
      <c r="D179" s="2" t="s">
        <v>376</v>
      </c>
      <c r="E179" s="2" t="s">
        <v>381</v>
      </c>
      <c r="F179" s="2" t="s">
        <v>389</v>
      </c>
      <c r="G179" s="2">
        <v>2</v>
      </c>
      <c r="H179" s="2">
        <v>20000</v>
      </c>
      <c r="I179" s="2">
        <v>0.05</v>
      </c>
      <c r="J179" s="3">
        <f t="shared" si="3"/>
        <v>38000</v>
      </c>
      <c r="K179" s="2" t="str">
        <f>TEXT(Table4[OrderDate], "mmmm")</f>
        <v>July</v>
      </c>
      <c r="L179" s="2">
        <f>IF(C179 = "", 0, IF(COUNTIF($C$2:C179, C179) = 1, 1, 0))</f>
        <v>0</v>
      </c>
    </row>
    <row r="180" spans="1:12" x14ac:dyDescent="0.25">
      <c r="A180" s="2">
        <v>1966</v>
      </c>
      <c r="B180" s="21" t="s">
        <v>14</v>
      </c>
      <c r="C180" s="2" t="s">
        <v>360</v>
      </c>
      <c r="D180" s="2" t="s">
        <v>373</v>
      </c>
      <c r="E180" s="2" t="s">
        <v>384</v>
      </c>
      <c r="F180" s="2" t="s">
        <v>389</v>
      </c>
      <c r="G180" s="2">
        <v>5</v>
      </c>
      <c r="H180" s="2">
        <v>30000</v>
      </c>
      <c r="I180" s="2">
        <v>0</v>
      </c>
      <c r="J180" s="3">
        <f t="shared" si="3"/>
        <v>150000</v>
      </c>
      <c r="K180" s="2" t="str">
        <f>TEXT(Table4[OrderDate], "mmmm")</f>
        <v>May</v>
      </c>
      <c r="L180" s="2">
        <f>IF(C180 = "", 0, IF(COUNTIF($C$2:C180, C180) = 1, 1, 0))</f>
        <v>0</v>
      </c>
    </row>
    <row r="181" spans="1:12" x14ac:dyDescent="0.25">
      <c r="A181" s="2">
        <v>1180</v>
      </c>
      <c r="B181" s="21" t="s">
        <v>152</v>
      </c>
      <c r="C181" s="2" t="s">
        <v>364</v>
      </c>
      <c r="D181" s="2" t="s">
        <v>375</v>
      </c>
      <c r="E181" s="2" t="s">
        <v>383</v>
      </c>
      <c r="F181" s="2" t="s">
        <v>390</v>
      </c>
      <c r="G181" s="2">
        <v>3</v>
      </c>
      <c r="H181" s="2">
        <v>1500</v>
      </c>
      <c r="I181" s="2">
        <v>0</v>
      </c>
      <c r="J181" s="3">
        <f t="shared" si="3"/>
        <v>4500</v>
      </c>
      <c r="K181" s="2" t="str">
        <f>TEXT(Table4[OrderDate], "mmmm")</f>
        <v>December</v>
      </c>
      <c r="L181" s="2">
        <f>IF(C181 = "", 0, IF(COUNTIF($C$2:C181, C181) = 1, 1, 0))</f>
        <v>0</v>
      </c>
    </row>
    <row r="182" spans="1:12" x14ac:dyDescent="0.25">
      <c r="A182" s="2">
        <v>1181</v>
      </c>
      <c r="B182" s="21" t="s">
        <v>26</v>
      </c>
      <c r="C182" s="2" t="s">
        <v>362</v>
      </c>
      <c r="D182" s="2" t="s">
        <v>376</v>
      </c>
      <c r="E182" s="2" t="s">
        <v>388</v>
      </c>
      <c r="F182" s="2" t="s">
        <v>389</v>
      </c>
      <c r="G182" s="2">
        <v>4</v>
      </c>
      <c r="H182" s="2">
        <v>12000</v>
      </c>
      <c r="I182" s="2">
        <v>0.05</v>
      </c>
      <c r="J182" s="3">
        <f t="shared" si="3"/>
        <v>45600</v>
      </c>
      <c r="K182" s="2" t="str">
        <f>TEXT(Table4[OrderDate], "mmmm")</f>
        <v>July</v>
      </c>
      <c r="L182" s="2">
        <f>IF(C182 = "", 0, IF(COUNTIF($C$2:C182, C182) = 1, 1, 0))</f>
        <v>0</v>
      </c>
    </row>
    <row r="183" spans="1:12" x14ac:dyDescent="0.25">
      <c r="A183" s="2">
        <v>1182</v>
      </c>
      <c r="B183" s="21" t="s">
        <v>153</v>
      </c>
      <c r="C183" s="2" t="s">
        <v>371</v>
      </c>
      <c r="D183" s="2" t="s">
        <v>377</v>
      </c>
      <c r="E183" s="2" t="s">
        <v>385</v>
      </c>
      <c r="F183" s="2" t="s">
        <v>390</v>
      </c>
      <c r="G183" s="2">
        <v>1</v>
      </c>
      <c r="H183" s="2">
        <v>2000</v>
      </c>
      <c r="I183" s="2">
        <v>0.15</v>
      </c>
      <c r="J183" s="3">
        <f t="shared" si="3"/>
        <v>1700</v>
      </c>
      <c r="K183" s="2" t="str">
        <f>TEXT(Table4[OrderDate], "mmmm")</f>
        <v>May</v>
      </c>
      <c r="L183" s="2">
        <f>IF(C183 = "", 0, IF(COUNTIF($C$2:C183, C183) = 1, 1, 0))</f>
        <v>0</v>
      </c>
    </row>
    <row r="184" spans="1:12" x14ac:dyDescent="0.25">
      <c r="A184" s="2">
        <v>1183</v>
      </c>
      <c r="B184" s="21" t="s">
        <v>154</v>
      </c>
      <c r="C184" s="2" t="s">
        <v>359</v>
      </c>
      <c r="D184" s="2" t="s">
        <v>374</v>
      </c>
      <c r="E184" s="2" t="s">
        <v>388</v>
      </c>
      <c r="F184" s="2" t="s">
        <v>389</v>
      </c>
      <c r="G184" s="2">
        <v>1</v>
      </c>
      <c r="H184" s="2">
        <v>12000</v>
      </c>
      <c r="I184" s="2">
        <v>0.05</v>
      </c>
      <c r="J184" s="3">
        <f t="shared" si="3"/>
        <v>11400</v>
      </c>
      <c r="K184" s="2" t="str">
        <f>TEXT(Table4[OrderDate], "mmmm")</f>
        <v>November</v>
      </c>
      <c r="L184" s="2">
        <f>IF(C184 = "", 0, IF(COUNTIF($C$2:C184, C184) = 1, 1, 0))</f>
        <v>0</v>
      </c>
    </row>
    <row r="185" spans="1:12" x14ac:dyDescent="0.25">
      <c r="A185" s="2">
        <v>1184</v>
      </c>
      <c r="B185" s="21" t="s">
        <v>155</v>
      </c>
      <c r="C185" s="2" t="s">
        <v>371</v>
      </c>
      <c r="D185" s="2" t="s">
        <v>377</v>
      </c>
      <c r="E185" s="2" t="s">
        <v>385</v>
      </c>
      <c r="F185" s="2" t="s">
        <v>390</v>
      </c>
      <c r="G185" s="2">
        <v>2</v>
      </c>
      <c r="H185" s="2">
        <v>2000</v>
      </c>
      <c r="I185" s="2">
        <v>0.05</v>
      </c>
      <c r="J185" s="3">
        <f t="shared" si="3"/>
        <v>3800</v>
      </c>
      <c r="K185" s="2" t="str">
        <f>TEXT(Table4[OrderDate], "mmmm")</f>
        <v>October</v>
      </c>
      <c r="L185" s="2">
        <f>IF(C185 = "", 0, IF(COUNTIF($C$2:C185, C185) = 1, 1, 0))</f>
        <v>0</v>
      </c>
    </row>
    <row r="186" spans="1:12" x14ac:dyDescent="0.25">
      <c r="A186" s="2">
        <v>1012</v>
      </c>
      <c r="B186" s="21" t="s">
        <v>21</v>
      </c>
      <c r="C186" s="2" t="s">
        <v>363</v>
      </c>
      <c r="D186" s="2" t="s">
        <v>378</v>
      </c>
      <c r="E186" s="2" t="s">
        <v>384</v>
      </c>
      <c r="F186" s="2" t="s">
        <v>389</v>
      </c>
      <c r="G186" s="2">
        <v>5</v>
      </c>
      <c r="H186" s="2">
        <v>30000</v>
      </c>
      <c r="I186" s="2">
        <v>0.05</v>
      </c>
      <c r="J186" s="3">
        <f t="shared" si="3"/>
        <v>142500</v>
      </c>
      <c r="K186" s="2" t="str">
        <f>TEXT(Table4[OrderDate], "mmmm")</f>
        <v>March</v>
      </c>
      <c r="L186" s="2">
        <f>IF(C186 = "", 0, IF(COUNTIF($C$2:C186, C186) = 1, 1, 0))</f>
        <v>0</v>
      </c>
    </row>
    <row r="187" spans="1:12" x14ac:dyDescent="0.25">
      <c r="A187" s="2">
        <v>1186</v>
      </c>
      <c r="B187" s="21" t="s">
        <v>57</v>
      </c>
      <c r="C187" s="2" t="s">
        <v>360</v>
      </c>
      <c r="D187" s="2" t="s">
        <v>373</v>
      </c>
      <c r="E187" s="2" t="s">
        <v>382</v>
      </c>
      <c r="F187" s="2" t="s">
        <v>389</v>
      </c>
      <c r="G187" s="2">
        <v>3</v>
      </c>
      <c r="H187" s="2">
        <v>50000</v>
      </c>
      <c r="I187" s="2">
        <v>0.05</v>
      </c>
      <c r="J187" s="3">
        <f t="shared" si="3"/>
        <v>142500</v>
      </c>
      <c r="K187" s="2" t="str">
        <f>TEXT(Table4[OrderDate], "mmmm")</f>
        <v>March</v>
      </c>
      <c r="L187" s="2">
        <f>IF(C187 = "", 0, IF(COUNTIF($C$2:C187, C187) = 1, 1, 0))</f>
        <v>0</v>
      </c>
    </row>
    <row r="188" spans="1:12" x14ac:dyDescent="0.25">
      <c r="A188" s="2">
        <v>1187</v>
      </c>
      <c r="B188" s="21" t="s">
        <v>156</v>
      </c>
      <c r="C188" s="2" t="s">
        <v>364</v>
      </c>
      <c r="D188" s="2" t="s">
        <v>375</v>
      </c>
      <c r="E188" s="2" t="s">
        <v>381</v>
      </c>
      <c r="F188" s="2" t="s">
        <v>389</v>
      </c>
      <c r="G188" s="2">
        <v>1</v>
      </c>
      <c r="H188" s="2">
        <v>20000</v>
      </c>
      <c r="I188" s="2">
        <v>0.05</v>
      </c>
      <c r="J188" s="3">
        <f t="shared" si="3"/>
        <v>19000</v>
      </c>
      <c r="K188" s="2" t="str">
        <f>TEXT(Table4[OrderDate], "mmmm")</f>
        <v>January</v>
      </c>
      <c r="L188" s="2">
        <f>IF(C188 = "", 0, IF(COUNTIF($C$2:C188, C188) = 1, 1, 0))</f>
        <v>0</v>
      </c>
    </row>
    <row r="189" spans="1:12" x14ac:dyDescent="0.25">
      <c r="A189" s="2">
        <v>1188</v>
      </c>
      <c r="B189" s="21" t="s">
        <v>146</v>
      </c>
      <c r="C189" s="2" t="s">
        <v>372</v>
      </c>
      <c r="D189" s="2" t="s">
        <v>373</v>
      </c>
      <c r="E189" s="2" t="s">
        <v>385</v>
      </c>
      <c r="F189" s="2" t="s">
        <v>390</v>
      </c>
      <c r="G189" s="2">
        <v>1</v>
      </c>
      <c r="H189" s="2">
        <v>2000</v>
      </c>
      <c r="I189" s="2">
        <v>0.05</v>
      </c>
      <c r="J189" s="3">
        <f t="shared" si="3"/>
        <v>1900</v>
      </c>
      <c r="K189" s="2" t="str">
        <f>TEXT(Table4[OrderDate], "mmmm")</f>
        <v>May</v>
      </c>
      <c r="L189" s="2">
        <f>IF(C189 = "", 0, IF(COUNTIF($C$2:C189, C189) = 1, 1, 0))</f>
        <v>0</v>
      </c>
    </row>
    <row r="190" spans="1:12" x14ac:dyDescent="0.25">
      <c r="A190" s="2">
        <v>1311</v>
      </c>
      <c r="B190" s="21" t="s">
        <v>223</v>
      </c>
      <c r="C190" s="2" t="s">
        <v>366</v>
      </c>
      <c r="D190" s="2" t="s">
        <v>373</v>
      </c>
      <c r="E190" s="2" t="s">
        <v>384</v>
      </c>
      <c r="F190" s="2" t="s">
        <v>389</v>
      </c>
      <c r="G190" s="2">
        <v>5</v>
      </c>
      <c r="H190" s="2">
        <v>30000</v>
      </c>
      <c r="I190" s="2">
        <v>0.05</v>
      </c>
      <c r="J190" s="3">
        <f t="shared" si="3"/>
        <v>142500</v>
      </c>
      <c r="K190" s="2" t="str">
        <f>TEXT(Table4[OrderDate], "mmmm")</f>
        <v>June</v>
      </c>
      <c r="L190" s="2">
        <f>IF(C190 = "", 0, IF(COUNTIF($C$2:C190, C190) = 1, 1, 0))</f>
        <v>0</v>
      </c>
    </row>
    <row r="191" spans="1:12" x14ac:dyDescent="0.25">
      <c r="A191" s="2">
        <v>1449</v>
      </c>
      <c r="B191" s="21" t="s">
        <v>276</v>
      </c>
      <c r="C191" s="2" t="s">
        <v>371</v>
      </c>
      <c r="D191" s="2" t="s">
        <v>374</v>
      </c>
      <c r="E191" s="2" t="s">
        <v>384</v>
      </c>
      <c r="F191" s="2" t="s">
        <v>389</v>
      </c>
      <c r="G191" s="2">
        <v>5</v>
      </c>
      <c r="H191" s="2">
        <v>30000</v>
      </c>
      <c r="I191" s="2">
        <v>0.05</v>
      </c>
      <c r="J191" s="3">
        <f t="shared" si="3"/>
        <v>142500</v>
      </c>
      <c r="K191" s="2" t="str">
        <f>TEXT(Table4[OrderDate], "mmmm")</f>
        <v>April</v>
      </c>
      <c r="L191" s="2">
        <f>IF(C191 = "", 0, IF(COUNTIF($C$2:C191, C191) = 1, 1, 0))</f>
        <v>0</v>
      </c>
    </row>
    <row r="192" spans="1:12" x14ac:dyDescent="0.25">
      <c r="A192" s="2">
        <v>1191</v>
      </c>
      <c r="B192" s="21" t="s">
        <v>159</v>
      </c>
      <c r="C192" s="2" t="s">
        <v>367</v>
      </c>
      <c r="D192" s="2" t="s">
        <v>378</v>
      </c>
      <c r="E192" s="2" t="s">
        <v>386</v>
      </c>
      <c r="F192" s="2" t="s">
        <v>391</v>
      </c>
      <c r="G192" s="2">
        <v>4</v>
      </c>
      <c r="H192" s="2">
        <v>7000</v>
      </c>
      <c r="I192" s="2">
        <v>0</v>
      </c>
      <c r="J192" s="3">
        <f t="shared" si="3"/>
        <v>28000</v>
      </c>
      <c r="K192" s="2" t="str">
        <f>TEXT(Table4[OrderDate], "mmmm")</f>
        <v>February</v>
      </c>
      <c r="L192" s="2">
        <f>IF(C192 = "", 0, IF(COUNTIF($C$2:C192, C192) = 1, 1, 0))</f>
        <v>0</v>
      </c>
    </row>
    <row r="193" spans="1:12" x14ac:dyDescent="0.25">
      <c r="A193" s="2">
        <v>1192</v>
      </c>
      <c r="B193" s="21" t="s">
        <v>160</v>
      </c>
      <c r="C193" s="2" t="s">
        <v>363</v>
      </c>
      <c r="D193" s="2" t="s">
        <v>377</v>
      </c>
      <c r="E193" s="2" t="s">
        <v>383</v>
      </c>
      <c r="F193" s="2" t="s">
        <v>390</v>
      </c>
      <c r="G193" s="2">
        <v>1</v>
      </c>
      <c r="H193" s="2">
        <v>1500</v>
      </c>
      <c r="I193" s="2">
        <v>0.15</v>
      </c>
      <c r="J193" s="3">
        <f t="shared" si="3"/>
        <v>1275</v>
      </c>
      <c r="K193" s="2" t="str">
        <f>TEXT(Table4[OrderDate], "mmmm")</f>
        <v>December</v>
      </c>
      <c r="L193" s="2">
        <f>IF(C193 = "", 0, IF(COUNTIF($C$2:C193, C193) = 1, 1, 0))</f>
        <v>0</v>
      </c>
    </row>
    <row r="194" spans="1:12" x14ac:dyDescent="0.25">
      <c r="A194" s="2">
        <v>1193</v>
      </c>
      <c r="B194" s="21" t="s">
        <v>161</v>
      </c>
      <c r="C194" s="2" t="s">
        <v>361</v>
      </c>
      <c r="D194" s="2" t="s">
        <v>379</v>
      </c>
      <c r="E194" s="2" t="s">
        <v>381</v>
      </c>
      <c r="F194" s="2" t="s">
        <v>389</v>
      </c>
      <c r="G194" s="2">
        <v>3</v>
      </c>
      <c r="H194" s="2">
        <v>20000</v>
      </c>
      <c r="I194" s="2">
        <v>0.05</v>
      </c>
      <c r="J194" s="3">
        <f t="shared" ref="J194:J257" si="4">H194*(1-I194)*G194</f>
        <v>57000</v>
      </c>
      <c r="K194" s="2" t="str">
        <f>TEXT(Table4[OrderDate], "mmmm")</f>
        <v>February</v>
      </c>
      <c r="L194" s="2">
        <f>IF(C194 = "", 0, IF(COUNTIF($C$2:C194, C194) = 1, 1, 0))</f>
        <v>0</v>
      </c>
    </row>
    <row r="195" spans="1:12" x14ac:dyDescent="0.25">
      <c r="A195" s="2">
        <v>1194</v>
      </c>
      <c r="B195" s="21" t="s">
        <v>19</v>
      </c>
      <c r="C195" s="2" t="s">
        <v>358</v>
      </c>
      <c r="D195" s="2" t="s">
        <v>377</v>
      </c>
      <c r="E195" s="2" t="s">
        <v>385</v>
      </c>
      <c r="F195" s="2" t="s">
        <v>390</v>
      </c>
      <c r="G195" s="2">
        <v>4</v>
      </c>
      <c r="H195" s="2">
        <v>2000</v>
      </c>
      <c r="I195" s="2">
        <v>0.1</v>
      </c>
      <c r="J195" s="3">
        <f t="shared" si="4"/>
        <v>7200</v>
      </c>
      <c r="K195" s="2" t="str">
        <f>TEXT(Table4[OrderDate], "mmmm")</f>
        <v>August</v>
      </c>
      <c r="L195" s="2">
        <f>IF(C195 = "", 0, IF(COUNTIF($C$2:C195, C195) = 1, 1, 0))</f>
        <v>0</v>
      </c>
    </row>
    <row r="196" spans="1:12" x14ac:dyDescent="0.25">
      <c r="A196" s="2">
        <v>1648</v>
      </c>
      <c r="B196" s="21" t="s">
        <v>210</v>
      </c>
      <c r="C196" s="2" t="s">
        <v>362</v>
      </c>
      <c r="D196" s="2" t="s">
        <v>378</v>
      </c>
      <c r="E196" s="2" t="s">
        <v>384</v>
      </c>
      <c r="F196" s="2" t="s">
        <v>389</v>
      </c>
      <c r="G196" s="2">
        <v>5</v>
      </c>
      <c r="H196" s="2">
        <v>30000</v>
      </c>
      <c r="I196" s="2">
        <v>0.05</v>
      </c>
      <c r="J196" s="3">
        <f t="shared" si="4"/>
        <v>142500</v>
      </c>
      <c r="K196" s="2" t="str">
        <f>TEXT(Table4[OrderDate], "mmmm")</f>
        <v>March</v>
      </c>
      <c r="L196" s="2">
        <f>IF(C196 = "", 0, IF(COUNTIF($C$2:C196, C196) = 1, 1, 0))</f>
        <v>0</v>
      </c>
    </row>
    <row r="197" spans="1:12" x14ac:dyDescent="0.25">
      <c r="A197" s="2">
        <v>1196</v>
      </c>
      <c r="B197" s="21" t="s">
        <v>163</v>
      </c>
      <c r="C197" s="2" t="s">
        <v>358</v>
      </c>
      <c r="D197" s="2" t="s">
        <v>377</v>
      </c>
      <c r="E197" s="2" t="s">
        <v>383</v>
      </c>
      <c r="F197" s="2" t="s">
        <v>390</v>
      </c>
      <c r="G197" s="2">
        <v>3</v>
      </c>
      <c r="H197" s="2">
        <v>1500</v>
      </c>
      <c r="I197" s="2">
        <v>0.15</v>
      </c>
      <c r="J197" s="3">
        <f t="shared" si="4"/>
        <v>3825</v>
      </c>
      <c r="K197" s="2" t="str">
        <f>TEXT(Table4[OrderDate], "mmmm")</f>
        <v>July</v>
      </c>
      <c r="L197" s="2">
        <f>IF(C197 = "", 0, IF(COUNTIF($C$2:C197, C197) = 1, 1, 0))</f>
        <v>0</v>
      </c>
    </row>
    <row r="198" spans="1:12" x14ac:dyDescent="0.25">
      <c r="A198" s="2">
        <v>1197</v>
      </c>
      <c r="B198" s="21" t="s">
        <v>164</v>
      </c>
      <c r="C198" s="2" t="s">
        <v>360</v>
      </c>
      <c r="D198" s="2" t="s">
        <v>376</v>
      </c>
      <c r="E198" s="2" t="s">
        <v>385</v>
      </c>
      <c r="F198" s="2" t="s">
        <v>390</v>
      </c>
      <c r="G198" s="2">
        <v>4</v>
      </c>
      <c r="H198" s="2">
        <v>2000</v>
      </c>
      <c r="I198" s="2">
        <v>0.1</v>
      </c>
      <c r="J198" s="3">
        <f t="shared" si="4"/>
        <v>7200</v>
      </c>
      <c r="K198" s="2" t="str">
        <f>TEXT(Table4[OrderDate], "mmmm")</f>
        <v>December</v>
      </c>
      <c r="L198" s="2">
        <f>IF(C198 = "", 0, IF(COUNTIF($C$2:C198, C198) = 1, 1, 0))</f>
        <v>0</v>
      </c>
    </row>
    <row r="199" spans="1:12" x14ac:dyDescent="0.25">
      <c r="A199" s="2">
        <v>1198</v>
      </c>
      <c r="B199" s="21" t="s">
        <v>165</v>
      </c>
      <c r="C199" s="2" t="s">
        <v>365</v>
      </c>
      <c r="D199" s="2" t="s">
        <v>377</v>
      </c>
      <c r="E199" s="2" t="s">
        <v>384</v>
      </c>
      <c r="F199" s="2" t="s">
        <v>389</v>
      </c>
      <c r="G199" s="2">
        <v>4</v>
      </c>
      <c r="H199" s="2">
        <v>30000</v>
      </c>
      <c r="I199" s="2">
        <v>0</v>
      </c>
      <c r="J199" s="3">
        <f t="shared" si="4"/>
        <v>120000</v>
      </c>
      <c r="K199" s="2" t="str">
        <f>TEXT(Table4[OrderDate], "mmmm")</f>
        <v>February</v>
      </c>
      <c r="L199" s="2">
        <f>IF(C199 = "", 0, IF(COUNTIF($C$2:C199, C199) = 1, 1, 0))</f>
        <v>0</v>
      </c>
    </row>
    <row r="200" spans="1:12" x14ac:dyDescent="0.25">
      <c r="A200" s="2">
        <v>1199</v>
      </c>
      <c r="B200" s="21" t="s">
        <v>57</v>
      </c>
      <c r="C200" s="2" t="s">
        <v>372</v>
      </c>
      <c r="D200" s="2" t="s">
        <v>376</v>
      </c>
      <c r="E200" s="2" t="s">
        <v>383</v>
      </c>
      <c r="F200" s="2" t="s">
        <v>390</v>
      </c>
      <c r="G200" s="2">
        <v>1</v>
      </c>
      <c r="H200" s="2">
        <v>1500</v>
      </c>
      <c r="I200" s="2">
        <v>0.1</v>
      </c>
      <c r="J200" s="3">
        <f t="shared" si="4"/>
        <v>1350</v>
      </c>
      <c r="K200" s="2" t="str">
        <f>TEXT(Table4[OrderDate], "mmmm")</f>
        <v>March</v>
      </c>
      <c r="L200" s="2">
        <f>IF(C200 = "", 0, IF(COUNTIF($C$2:C200, C200) = 1, 1, 0))</f>
        <v>0</v>
      </c>
    </row>
    <row r="201" spans="1:12" x14ac:dyDescent="0.25">
      <c r="A201" s="2">
        <v>1200</v>
      </c>
      <c r="B201" s="21" t="s">
        <v>164</v>
      </c>
      <c r="C201" s="2" t="s">
        <v>358</v>
      </c>
      <c r="D201" s="2" t="s">
        <v>374</v>
      </c>
      <c r="E201" s="2" t="s">
        <v>381</v>
      </c>
      <c r="F201" s="2" t="s">
        <v>389</v>
      </c>
      <c r="G201" s="2">
        <v>4</v>
      </c>
      <c r="H201" s="2">
        <v>20000</v>
      </c>
      <c r="I201" s="2">
        <v>0.1</v>
      </c>
      <c r="J201" s="3">
        <f t="shared" si="4"/>
        <v>72000</v>
      </c>
      <c r="K201" s="2" t="str">
        <f>TEXT(Table4[OrderDate], "mmmm")</f>
        <v>December</v>
      </c>
      <c r="L201" s="2">
        <f>IF(C201 = "", 0, IF(COUNTIF($C$2:C201, C201) = 1, 1, 0))</f>
        <v>0</v>
      </c>
    </row>
    <row r="202" spans="1:12" x14ac:dyDescent="0.25">
      <c r="A202" s="2">
        <v>1684</v>
      </c>
      <c r="B202" s="21" t="s">
        <v>199</v>
      </c>
      <c r="C202" s="2" t="s">
        <v>368</v>
      </c>
      <c r="D202" s="2" t="s">
        <v>379</v>
      </c>
      <c r="E202" s="2" t="s">
        <v>384</v>
      </c>
      <c r="F202" s="2" t="s">
        <v>389</v>
      </c>
      <c r="G202" s="2">
        <v>5</v>
      </c>
      <c r="H202" s="2">
        <v>30000</v>
      </c>
      <c r="I202" s="2">
        <v>0.05</v>
      </c>
      <c r="J202" s="3">
        <f t="shared" si="4"/>
        <v>142500</v>
      </c>
      <c r="K202" s="2" t="str">
        <f>TEXT(Table4[OrderDate], "mmmm")</f>
        <v>March</v>
      </c>
      <c r="L202" s="2">
        <f>IF(C202 = "", 0, IF(COUNTIF($C$2:C202, C202) = 1, 1, 0))</f>
        <v>0</v>
      </c>
    </row>
    <row r="203" spans="1:12" x14ac:dyDescent="0.25">
      <c r="A203" s="2">
        <v>1202</v>
      </c>
      <c r="B203" s="21" t="s">
        <v>166</v>
      </c>
      <c r="C203" s="2" t="s">
        <v>364</v>
      </c>
      <c r="D203" s="2" t="s">
        <v>376</v>
      </c>
      <c r="E203" s="2" t="s">
        <v>384</v>
      </c>
      <c r="F203" s="2" t="s">
        <v>389</v>
      </c>
      <c r="G203" s="2">
        <v>4</v>
      </c>
      <c r="H203" s="2">
        <v>30000</v>
      </c>
      <c r="I203" s="2">
        <v>0.05</v>
      </c>
      <c r="J203" s="3">
        <f t="shared" si="4"/>
        <v>114000</v>
      </c>
      <c r="K203" s="2" t="str">
        <f>TEXT(Table4[OrderDate], "mmmm")</f>
        <v>February</v>
      </c>
      <c r="L203" s="2">
        <f>IF(C203 = "", 0, IF(COUNTIF($C$2:C203, C203) = 1, 1, 0))</f>
        <v>0</v>
      </c>
    </row>
    <row r="204" spans="1:12" x14ac:dyDescent="0.25">
      <c r="A204" s="2">
        <v>1203</v>
      </c>
      <c r="B204" s="21" t="s">
        <v>167</v>
      </c>
      <c r="C204" s="2" t="s">
        <v>359</v>
      </c>
      <c r="D204" s="2" t="s">
        <v>379</v>
      </c>
      <c r="E204" s="2" t="s">
        <v>381</v>
      </c>
      <c r="F204" s="2" t="s">
        <v>389</v>
      </c>
      <c r="G204" s="2">
        <v>3</v>
      </c>
      <c r="H204" s="2">
        <v>20000</v>
      </c>
      <c r="I204" s="2">
        <v>0.05</v>
      </c>
      <c r="J204" s="3">
        <f t="shared" si="4"/>
        <v>57000</v>
      </c>
      <c r="K204" s="2" t="str">
        <f>TEXT(Table4[OrderDate], "mmmm")</f>
        <v>August</v>
      </c>
      <c r="L204" s="2">
        <f>IF(C204 = "", 0, IF(COUNTIF($C$2:C204, C204) = 1, 1, 0))</f>
        <v>0</v>
      </c>
    </row>
    <row r="205" spans="1:12" x14ac:dyDescent="0.25">
      <c r="A205" s="2">
        <v>1204</v>
      </c>
      <c r="B205" s="21" t="s">
        <v>168</v>
      </c>
      <c r="C205" s="2" t="s">
        <v>370</v>
      </c>
      <c r="D205" s="2" t="s">
        <v>376</v>
      </c>
      <c r="E205" s="2" t="s">
        <v>382</v>
      </c>
      <c r="F205" s="2" t="s">
        <v>389</v>
      </c>
      <c r="G205" s="2">
        <v>2</v>
      </c>
      <c r="H205" s="2">
        <v>50000</v>
      </c>
      <c r="I205" s="2">
        <v>0.1</v>
      </c>
      <c r="J205" s="3">
        <f t="shared" si="4"/>
        <v>90000</v>
      </c>
      <c r="K205" s="2" t="str">
        <f>TEXT(Table4[OrderDate], "mmmm")</f>
        <v>December</v>
      </c>
      <c r="L205" s="2">
        <f>IF(C205 = "", 0, IF(COUNTIF($C$2:C205, C205) = 1, 1, 0))</f>
        <v>0</v>
      </c>
    </row>
    <row r="206" spans="1:12" x14ac:dyDescent="0.25">
      <c r="A206" s="2">
        <v>1205</v>
      </c>
      <c r="B206" s="21" t="s">
        <v>169</v>
      </c>
      <c r="C206" s="2" t="s">
        <v>368</v>
      </c>
      <c r="D206" s="2" t="s">
        <v>377</v>
      </c>
      <c r="E206" s="2" t="s">
        <v>385</v>
      </c>
      <c r="F206" s="2" t="s">
        <v>390</v>
      </c>
      <c r="G206" s="2">
        <v>1</v>
      </c>
      <c r="H206" s="2">
        <v>2000</v>
      </c>
      <c r="I206" s="2">
        <v>0.05</v>
      </c>
      <c r="J206" s="3">
        <f t="shared" si="4"/>
        <v>1900</v>
      </c>
      <c r="K206" s="2" t="str">
        <f>TEXT(Table4[OrderDate], "mmmm")</f>
        <v>March</v>
      </c>
      <c r="L206" s="2">
        <f>IF(C206 = "", 0, IF(COUNTIF($C$2:C206, C206) = 1, 1, 0))</f>
        <v>0</v>
      </c>
    </row>
    <row r="207" spans="1:12" x14ac:dyDescent="0.25">
      <c r="A207" s="2">
        <v>1206</v>
      </c>
      <c r="B207" s="21" t="s">
        <v>134</v>
      </c>
      <c r="C207" s="2" t="s">
        <v>371</v>
      </c>
      <c r="D207" s="2" t="s">
        <v>378</v>
      </c>
      <c r="E207" s="2" t="s">
        <v>384</v>
      </c>
      <c r="F207" s="2" t="s">
        <v>389</v>
      </c>
      <c r="G207" s="2">
        <v>1</v>
      </c>
      <c r="H207" s="2">
        <v>30000</v>
      </c>
      <c r="I207" s="2">
        <v>0</v>
      </c>
      <c r="J207" s="3">
        <f t="shared" si="4"/>
        <v>30000</v>
      </c>
      <c r="K207" s="2" t="str">
        <f>TEXT(Table4[OrderDate], "mmmm")</f>
        <v>September</v>
      </c>
      <c r="L207" s="2">
        <f>IF(C207 = "", 0, IF(COUNTIF($C$2:C207, C207) = 1, 1, 0))</f>
        <v>0</v>
      </c>
    </row>
    <row r="208" spans="1:12" x14ac:dyDescent="0.25">
      <c r="A208" s="2">
        <v>1207</v>
      </c>
      <c r="B208" s="21" t="s">
        <v>52</v>
      </c>
      <c r="C208" s="2" t="s">
        <v>364</v>
      </c>
      <c r="D208" s="2" t="s">
        <v>379</v>
      </c>
      <c r="E208" s="2" t="s">
        <v>383</v>
      </c>
      <c r="F208" s="2" t="s">
        <v>390</v>
      </c>
      <c r="G208" s="2">
        <v>4</v>
      </c>
      <c r="H208" s="2">
        <v>1500</v>
      </c>
      <c r="I208" s="2">
        <v>0.1</v>
      </c>
      <c r="J208" s="3">
        <f t="shared" si="4"/>
        <v>5400</v>
      </c>
      <c r="K208" s="2" t="str">
        <f>TEXT(Table4[OrderDate], "mmmm")</f>
        <v>March</v>
      </c>
      <c r="L208" s="2">
        <f>IF(C208 = "", 0, IF(COUNTIF($C$2:C208, C208) = 1, 1, 0))</f>
        <v>0</v>
      </c>
    </row>
    <row r="209" spans="1:12" x14ac:dyDescent="0.25">
      <c r="A209" s="2">
        <v>1763</v>
      </c>
      <c r="B209" s="21" t="s">
        <v>270</v>
      </c>
      <c r="C209" s="2" t="s">
        <v>357</v>
      </c>
      <c r="D209" s="2" t="s">
        <v>377</v>
      </c>
      <c r="E209" s="2" t="s">
        <v>384</v>
      </c>
      <c r="F209" s="2" t="s">
        <v>389</v>
      </c>
      <c r="G209" s="2">
        <v>5</v>
      </c>
      <c r="H209" s="2">
        <v>30000</v>
      </c>
      <c r="I209" s="2">
        <v>0.05</v>
      </c>
      <c r="J209" s="3">
        <f t="shared" si="4"/>
        <v>142500</v>
      </c>
      <c r="K209" s="2" t="str">
        <f>TEXT(Table4[OrderDate], "mmmm")</f>
        <v>October</v>
      </c>
      <c r="L209" s="2">
        <f>IF(C209 = "", 0, IF(COUNTIF($C$2:C209, C209) = 1, 1, 0))</f>
        <v>0</v>
      </c>
    </row>
    <row r="210" spans="1:12" x14ac:dyDescent="0.25">
      <c r="A210" s="2">
        <v>1209</v>
      </c>
      <c r="B210" s="21" t="s">
        <v>171</v>
      </c>
      <c r="C210" s="2" t="s">
        <v>358</v>
      </c>
      <c r="D210" s="2" t="s">
        <v>380</v>
      </c>
      <c r="E210" s="2" t="s">
        <v>382</v>
      </c>
      <c r="F210" s="2" t="s">
        <v>389</v>
      </c>
      <c r="G210" s="2">
        <v>1</v>
      </c>
      <c r="H210" s="2">
        <v>50000</v>
      </c>
      <c r="I210" s="2">
        <v>0.1</v>
      </c>
      <c r="J210" s="3">
        <f t="shared" si="4"/>
        <v>45000</v>
      </c>
      <c r="K210" s="2" t="str">
        <f>TEXT(Table4[OrderDate], "mmmm")</f>
        <v>August</v>
      </c>
      <c r="L210" s="2">
        <f>IF(C210 = "", 0, IF(COUNTIF($C$2:C210, C210) = 1, 1, 0))</f>
        <v>0</v>
      </c>
    </row>
    <row r="211" spans="1:12" x14ac:dyDescent="0.25">
      <c r="A211" s="2">
        <v>1210</v>
      </c>
      <c r="B211" s="21" t="s">
        <v>172</v>
      </c>
      <c r="C211" s="2" t="s">
        <v>362</v>
      </c>
      <c r="D211" s="2" t="s">
        <v>376</v>
      </c>
      <c r="E211" s="2" t="s">
        <v>388</v>
      </c>
      <c r="F211" s="2" t="s">
        <v>389</v>
      </c>
      <c r="G211" s="2">
        <v>4</v>
      </c>
      <c r="H211" s="2">
        <v>12000</v>
      </c>
      <c r="I211" s="2">
        <v>0.1</v>
      </c>
      <c r="J211" s="3">
        <f t="shared" si="4"/>
        <v>43200</v>
      </c>
      <c r="K211" s="2" t="str">
        <f>TEXT(Table4[OrderDate], "mmmm")</f>
        <v>April</v>
      </c>
      <c r="L211" s="2">
        <f>IF(C211 = "", 0, IF(COUNTIF($C$2:C211, C211) = 1, 1, 0))</f>
        <v>0</v>
      </c>
    </row>
    <row r="212" spans="1:12" x14ac:dyDescent="0.25">
      <c r="A212" s="2">
        <v>1211</v>
      </c>
      <c r="B212" s="21" t="s">
        <v>142</v>
      </c>
      <c r="C212" s="2" t="s">
        <v>367</v>
      </c>
      <c r="D212" s="2" t="s">
        <v>379</v>
      </c>
      <c r="E212" s="2" t="s">
        <v>383</v>
      </c>
      <c r="F212" s="2" t="s">
        <v>390</v>
      </c>
      <c r="G212" s="2">
        <v>1</v>
      </c>
      <c r="H212" s="2">
        <v>1500</v>
      </c>
      <c r="I212" s="2">
        <v>0.1</v>
      </c>
      <c r="J212" s="3">
        <f t="shared" si="4"/>
        <v>1350</v>
      </c>
      <c r="K212" s="2" t="str">
        <f>TEXT(Table4[OrderDate], "mmmm")</f>
        <v>December</v>
      </c>
      <c r="L212" s="2">
        <f>IF(C212 = "", 0, IF(COUNTIF($C$2:C212, C212) = 1, 1, 0))</f>
        <v>0</v>
      </c>
    </row>
    <row r="213" spans="1:12" x14ac:dyDescent="0.25">
      <c r="A213" s="2">
        <v>1212</v>
      </c>
      <c r="B213" s="21" t="s">
        <v>173</v>
      </c>
      <c r="C213" s="2" t="s">
        <v>372</v>
      </c>
      <c r="D213" s="2" t="s">
        <v>374</v>
      </c>
      <c r="E213" s="2" t="s">
        <v>382</v>
      </c>
      <c r="F213" s="2" t="s">
        <v>389</v>
      </c>
      <c r="G213" s="2">
        <v>2</v>
      </c>
      <c r="H213" s="2">
        <v>50000</v>
      </c>
      <c r="I213" s="2">
        <v>0.15</v>
      </c>
      <c r="J213" s="3">
        <f t="shared" si="4"/>
        <v>85000</v>
      </c>
      <c r="K213" s="2" t="str">
        <f>TEXT(Table4[OrderDate], "mmmm")</f>
        <v>November</v>
      </c>
      <c r="L213" s="2">
        <f>IF(C213 = "", 0, IF(COUNTIF($C$2:C213, C213) = 1, 1, 0))</f>
        <v>0</v>
      </c>
    </row>
    <row r="214" spans="1:12" x14ac:dyDescent="0.25">
      <c r="A214" s="2">
        <v>1213</v>
      </c>
      <c r="B214" s="21" t="s">
        <v>174</v>
      </c>
      <c r="C214" s="2" t="s">
        <v>360</v>
      </c>
      <c r="D214" s="2" t="s">
        <v>379</v>
      </c>
      <c r="E214" s="2" t="s">
        <v>387</v>
      </c>
      <c r="F214" s="2" t="s">
        <v>391</v>
      </c>
      <c r="G214" s="2">
        <v>3</v>
      </c>
      <c r="H214" s="2">
        <v>3000</v>
      </c>
      <c r="I214" s="2">
        <v>0.05</v>
      </c>
      <c r="J214" s="3">
        <f t="shared" si="4"/>
        <v>8550</v>
      </c>
      <c r="K214" s="2" t="str">
        <f>TEXT(Table4[OrderDate], "mmmm")</f>
        <v>March</v>
      </c>
      <c r="L214" s="2">
        <f>IF(C214 = "", 0, IF(COUNTIF($C$2:C214, C214) = 1, 1, 0))</f>
        <v>0</v>
      </c>
    </row>
    <row r="215" spans="1:12" x14ac:dyDescent="0.25">
      <c r="A215" s="2">
        <v>1214</v>
      </c>
      <c r="B215" s="21" t="s">
        <v>175</v>
      </c>
      <c r="C215" s="2" t="s">
        <v>358</v>
      </c>
      <c r="D215" s="2" t="s">
        <v>373</v>
      </c>
      <c r="E215" s="2" t="s">
        <v>385</v>
      </c>
      <c r="F215" s="2" t="s">
        <v>390</v>
      </c>
      <c r="G215" s="2">
        <v>1</v>
      </c>
      <c r="H215" s="2">
        <v>2000</v>
      </c>
      <c r="I215" s="2">
        <v>0</v>
      </c>
      <c r="J215" s="3">
        <f t="shared" si="4"/>
        <v>2000</v>
      </c>
      <c r="K215" s="2" t="str">
        <f>TEXT(Table4[OrderDate], "mmmm")</f>
        <v>September</v>
      </c>
      <c r="L215" s="2">
        <f>IF(C215 = "", 0, IF(COUNTIF($C$2:C215, C215) = 1, 1, 0))</f>
        <v>0</v>
      </c>
    </row>
    <row r="216" spans="1:12" x14ac:dyDescent="0.25">
      <c r="A216" s="2">
        <v>1215</v>
      </c>
      <c r="B216" s="21" t="s">
        <v>176</v>
      </c>
      <c r="C216" s="2" t="s">
        <v>364</v>
      </c>
      <c r="D216" s="2" t="s">
        <v>377</v>
      </c>
      <c r="E216" s="2" t="s">
        <v>384</v>
      </c>
      <c r="F216" s="2" t="s">
        <v>389</v>
      </c>
      <c r="G216" s="2">
        <v>4</v>
      </c>
      <c r="H216" s="2">
        <v>30000</v>
      </c>
      <c r="I216" s="2">
        <v>0.05</v>
      </c>
      <c r="J216" s="3">
        <f t="shared" si="4"/>
        <v>114000</v>
      </c>
      <c r="K216" s="2" t="str">
        <f>TEXT(Table4[OrderDate], "mmmm")</f>
        <v>September</v>
      </c>
      <c r="L216" s="2">
        <f>IF(C216 = "", 0, IF(COUNTIF($C$2:C216, C216) = 1, 1, 0))</f>
        <v>0</v>
      </c>
    </row>
    <row r="217" spans="1:12" x14ac:dyDescent="0.25">
      <c r="A217" s="2">
        <v>1216</v>
      </c>
      <c r="B217" s="21" t="s">
        <v>177</v>
      </c>
      <c r="C217" s="2" t="s">
        <v>363</v>
      </c>
      <c r="D217" s="2" t="s">
        <v>377</v>
      </c>
      <c r="E217" s="2" t="s">
        <v>383</v>
      </c>
      <c r="F217" s="2" t="s">
        <v>390</v>
      </c>
      <c r="G217" s="2">
        <v>1</v>
      </c>
      <c r="H217" s="2">
        <v>1500</v>
      </c>
      <c r="I217" s="2">
        <v>0.15</v>
      </c>
      <c r="J217" s="3">
        <f t="shared" si="4"/>
        <v>1275</v>
      </c>
      <c r="K217" s="2" t="str">
        <f>TEXT(Table4[OrderDate], "mmmm")</f>
        <v>January</v>
      </c>
      <c r="L217" s="2">
        <f>IF(C217 = "", 0, IF(COUNTIF($C$2:C217, C217) = 1, 1, 0))</f>
        <v>0</v>
      </c>
    </row>
    <row r="218" spans="1:12" x14ac:dyDescent="0.25">
      <c r="A218" s="2">
        <v>1065</v>
      </c>
      <c r="B218" s="21" t="s">
        <v>68</v>
      </c>
      <c r="C218" s="2" t="s">
        <v>362</v>
      </c>
      <c r="D218" s="2" t="s">
        <v>378</v>
      </c>
      <c r="E218" s="2" t="s">
        <v>384</v>
      </c>
      <c r="F218" s="2" t="s">
        <v>389</v>
      </c>
      <c r="G218" s="2">
        <v>5</v>
      </c>
      <c r="H218" s="2">
        <v>30000</v>
      </c>
      <c r="I218" s="2">
        <v>0.1</v>
      </c>
      <c r="J218" s="3">
        <f t="shared" si="4"/>
        <v>135000</v>
      </c>
      <c r="K218" s="2" t="str">
        <f>TEXT(Table4[OrderDate], "mmmm")</f>
        <v>January</v>
      </c>
      <c r="L218" s="2">
        <f>IF(C218 = "", 0, IF(COUNTIF($C$2:C218, C218) = 1, 1, 0))</f>
        <v>0</v>
      </c>
    </row>
    <row r="219" spans="1:12" x14ac:dyDescent="0.25">
      <c r="A219" s="2">
        <v>1218</v>
      </c>
      <c r="B219" s="21" t="s">
        <v>178</v>
      </c>
      <c r="C219" s="2" t="s">
        <v>366</v>
      </c>
      <c r="D219" s="2" t="s">
        <v>373</v>
      </c>
      <c r="E219" s="2" t="s">
        <v>386</v>
      </c>
      <c r="F219" s="2" t="s">
        <v>391</v>
      </c>
      <c r="G219" s="2">
        <v>1</v>
      </c>
      <c r="H219" s="2">
        <v>7000</v>
      </c>
      <c r="I219" s="2">
        <v>0.15</v>
      </c>
      <c r="J219" s="3">
        <f t="shared" si="4"/>
        <v>5950</v>
      </c>
      <c r="K219" s="2" t="str">
        <f>TEXT(Table4[OrderDate], "mmmm")</f>
        <v>January</v>
      </c>
      <c r="L219" s="2">
        <f>IF(C219 = "", 0, IF(COUNTIF($C$2:C219, C219) = 1, 1, 0))</f>
        <v>0</v>
      </c>
    </row>
    <row r="220" spans="1:12" x14ac:dyDescent="0.25">
      <c r="A220" s="2">
        <v>1219</v>
      </c>
      <c r="B220" s="21" t="s">
        <v>179</v>
      </c>
      <c r="C220" s="2" t="s">
        <v>362</v>
      </c>
      <c r="D220" s="2" t="s">
        <v>375</v>
      </c>
      <c r="E220" s="2" t="s">
        <v>388</v>
      </c>
      <c r="F220" s="2" t="s">
        <v>389</v>
      </c>
      <c r="G220" s="2">
        <v>3</v>
      </c>
      <c r="H220" s="2">
        <v>12000</v>
      </c>
      <c r="I220" s="2">
        <v>0</v>
      </c>
      <c r="J220" s="3">
        <f t="shared" si="4"/>
        <v>36000</v>
      </c>
      <c r="K220" s="2" t="str">
        <f>TEXT(Table4[OrderDate], "mmmm")</f>
        <v>August</v>
      </c>
      <c r="L220" s="2">
        <f>IF(C220 = "", 0, IF(COUNTIF($C$2:C220, C220) = 1, 1, 0))</f>
        <v>0</v>
      </c>
    </row>
    <row r="221" spans="1:12" x14ac:dyDescent="0.25">
      <c r="A221" s="2">
        <v>1071</v>
      </c>
      <c r="B221" s="21" t="s">
        <v>73</v>
      </c>
      <c r="C221" s="2" t="s">
        <v>359</v>
      </c>
      <c r="D221" s="2" t="s">
        <v>379</v>
      </c>
      <c r="E221" s="2" t="s">
        <v>384</v>
      </c>
      <c r="F221" s="2" t="s">
        <v>389</v>
      </c>
      <c r="G221" s="2">
        <v>5</v>
      </c>
      <c r="H221" s="2">
        <v>30000</v>
      </c>
      <c r="I221" s="2">
        <v>0.1</v>
      </c>
      <c r="J221" s="3">
        <f t="shared" si="4"/>
        <v>135000</v>
      </c>
      <c r="K221" s="2" t="str">
        <f>TEXT(Table4[OrderDate], "mmmm")</f>
        <v>July</v>
      </c>
      <c r="L221" s="2">
        <f>IF(C221 = "", 0, IF(COUNTIF($C$2:C221, C221) = 1, 1, 0))</f>
        <v>0</v>
      </c>
    </row>
    <row r="222" spans="1:12" x14ac:dyDescent="0.25">
      <c r="A222" s="2">
        <v>1221</v>
      </c>
      <c r="B222" s="21" t="s">
        <v>120</v>
      </c>
      <c r="C222" s="2" t="s">
        <v>369</v>
      </c>
      <c r="D222" s="2" t="s">
        <v>377</v>
      </c>
      <c r="E222" s="2" t="s">
        <v>386</v>
      </c>
      <c r="F222" s="2" t="s">
        <v>391</v>
      </c>
      <c r="G222" s="2">
        <v>3</v>
      </c>
      <c r="H222" s="2">
        <v>7000</v>
      </c>
      <c r="I222" s="2">
        <v>0.05</v>
      </c>
      <c r="J222" s="3">
        <f t="shared" si="4"/>
        <v>19950</v>
      </c>
      <c r="K222" s="2" t="str">
        <f>TEXT(Table4[OrderDate], "mmmm")</f>
        <v>June</v>
      </c>
      <c r="L222" s="2">
        <f>IF(C222 = "", 0, IF(COUNTIF($C$2:C222, C222) = 1, 1, 0))</f>
        <v>0</v>
      </c>
    </row>
    <row r="223" spans="1:12" x14ac:dyDescent="0.25">
      <c r="A223" s="2">
        <v>1170</v>
      </c>
      <c r="B223" s="21" t="s">
        <v>134</v>
      </c>
      <c r="C223" s="2" t="s">
        <v>360</v>
      </c>
      <c r="D223" s="2" t="s">
        <v>373</v>
      </c>
      <c r="E223" s="2" t="s">
        <v>384</v>
      </c>
      <c r="F223" s="2" t="s">
        <v>389</v>
      </c>
      <c r="G223" s="2">
        <v>5</v>
      </c>
      <c r="H223" s="2">
        <v>30000</v>
      </c>
      <c r="I223" s="2">
        <v>0.1</v>
      </c>
      <c r="J223" s="3">
        <f t="shared" si="4"/>
        <v>135000</v>
      </c>
      <c r="K223" s="2" t="str">
        <f>TEXT(Table4[OrderDate], "mmmm")</f>
        <v>September</v>
      </c>
      <c r="L223" s="2">
        <f>IF(C223 = "", 0, IF(COUNTIF($C$2:C223, C223) = 1, 1, 0))</f>
        <v>0</v>
      </c>
    </row>
    <row r="224" spans="1:12" x14ac:dyDescent="0.25">
      <c r="A224" s="2">
        <v>1223</v>
      </c>
      <c r="B224" s="21" t="s">
        <v>182</v>
      </c>
      <c r="C224" s="2" t="s">
        <v>371</v>
      </c>
      <c r="D224" s="2" t="s">
        <v>373</v>
      </c>
      <c r="E224" s="2" t="s">
        <v>387</v>
      </c>
      <c r="F224" s="2" t="s">
        <v>391</v>
      </c>
      <c r="G224" s="2">
        <v>1</v>
      </c>
      <c r="H224" s="2">
        <v>3000</v>
      </c>
      <c r="I224" s="2">
        <v>0.05</v>
      </c>
      <c r="J224" s="3">
        <f t="shared" si="4"/>
        <v>2850</v>
      </c>
      <c r="K224" s="2" t="str">
        <f>TEXT(Table4[OrderDate], "mmmm")</f>
        <v>May</v>
      </c>
      <c r="L224" s="2">
        <f>IF(C224 = "", 0, IF(COUNTIF($C$2:C224, C224) = 1, 1, 0))</f>
        <v>0</v>
      </c>
    </row>
    <row r="225" spans="1:12" x14ac:dyDescent="0.25">
      <c r="A225" s="2">
        <v>1224</v>
      </c>
      <c r="B225" s="21" t="s">
        <v>17</v>
      </c>
      <c r="C225" s="2" t="s">
        <v>367</v>
      </c>
      <c r="D225" s="2" t="s">
        <v>380</v>
      </c>
      <c r="E225" s="2" t="s">
        <v>384</v>
      </c>
      <c r="F225" s="2" t="s">
        <v>389</v>
      </c>
      <c r="G225" s="2">
        <v>1</v>
      </c>
      <c r="H225" s="2">
        <v>30000</v>
      </c>
      <c r="I225" s="2">
        <v>0.05</v>
      </c>
      <c r="J225" s="3">
        <f t="shared" si="4"/>
        <v>28500</v>
      </c>
      <c r="K225" s="2" t="str">
        <f>TEXT(Table4[OrderDate], "mmmm")</f>
        <v>November</v>
      </c>
      <c r="L225" s="2">
        <f>IF(C225 = "", 0, IF(COUNTIF($C$2:C225, C225) = 1, 1, 0))</f>
        <v>0</v>
      </c>
    </row>
    <row r="226" spans="1:12" x14ac:dyDescent="0.25">
      <c r="A226" s="2">
        <v>1291</v>
      </c>
      <c r="B226" s="21" t="s">
        <v>108</v>
      </c>
      <c r="C226" s="2" t="s">
        <v>372</v>
      </c>
      <c r="D226" s="2" t="s">
        <v>374</v>
      </c>
      <c r="E226" s="2" t="s">
        <v>384</v>
      </c>
      <c r="F226" s="2" t="s">
        <v>389</v>
      </c>
      <c r="G226" s="2">
        <v>5</v>
      </c>
      <c r="H226" s="2">
        <v>30000</v>
      </c>
      <c r="I226" s="2">
        <v>0.1</v>
      </c>
      <c r="J226" s="3">
        <f t="shared" si="4"/>
        <v>135000</v>
      </c>
      <c r="K226" s="2" t="str">
        <f>TEXT(Table4[OrderDate], "mmmm")</f>
        <v>October</v>
      </c>
      <c r="L226" s="2">
        <f>IF(C226 = "", 0, IF(COUNTIF($C$2:C226, C226) = 1, 1, 0))</f>
        <v>0</v>
      </c>
    </row>
    <row r="227" spans="1:12" x14ac:dyDescent="0.25">
      <c r="A227" s="2">
        <v>1226</v>
      </c>
      <c r="B227" s="21" t="s">
        <v>171</v>
      </c>
      <c r="C227" s="2" t="s">
        <v>370</v>
      </c>
      <c r="D227" s="2" t="s">
        <v>379</v>
      </c>
      <c r="E227" s="2" t="s">
        <v>388</v>
      </c>
      <c r="F227" s="2" t="s">
        <v>389</v>
      </c>
      <c r="G227" s="2">
        <v>1</v>
      </c>
      <c r="H227" s="2">
        <v>12000</v>
      </c>
      <c r="I227" s="2">
        <v>0.15</v>
      </c>
      <c r="J227" s="3">
        <f t="shared" si="4"/>
        <v>10200</v>
      </c>
      <c r="K227" s="2" t="str">
        <f>TEXT(Table4[OrderDate], "mmmm")</f>
        <v>August</v>
      </c>
      <c r="L227" s="2">
        <f>IF(C227 = "", 0, IF(COUNTIF($C$2:C227, C227) = 1, 1, 0))</f>
        <v>0</v>
      </c>
    </row>
    <row r="228" spans="1:12" x14ac:dyDescent="0.25">
      <c r="A228" s="2">
        <v>1227</v>
      </c>
      <c r="B228" s="21" t="s">
        <v>183</v>
      </c>
      <c r="C228" s="2" t="s">
        <v>363</v>
      </c>
      <c r="D228" s="2" t="s">
        <v>380</v>
      </c>
      <c r="E228" s="2" t="s">
        <v>382</v>
      </c>
      <c r="F228" s="2" t="s">
        <v>389</v>
      </c>
      <c r="G228" s="2">
        <v>3</v>
      </c>
      <c r="H228" s="2">
        <v>50000</v>
      </c>
      <c r="I228" s="2">
        <v>0</v>
      </c>
      <c r="J228" s="3">
        <f t="shared" si="4"/>
        <v>150000</v>
      </c>
      <c r="K228" s="2" t="str">
        <f>TEXT(Table4[OrderDate], "mmmm")</f>
        <v>June</v>
      </c>
      <c r="L228" s="2">
        <f>IF(C228 = "", 0, IF(COUNTIF($C$2:C228, C228) = 1, 1, 0))</f>
        <v>0</v>
      </c>
    </row>
    <row r="229" spans="1:12" x14ac:dyDescent="0.25">
      <c r="A229" s="2">
        <v>1228</v>
      </c>
      <c r="B229" s="21" t="s">
        <v>184</v>
      </c>
      <c r="C229" s="2" t="s">
        <v>365</v>
      </c>
      <c r="D229" s="2" t="s">
        <v>377</v>
      </c>
      <c r="E229" s="2" t="s">
        <v>382</v>
      </c>
      <c r="F229" s="2" t="s">
        <v>389</v>
      </c>
      <c r="G229" s="2">
        <v>1</v>
      </c>
      <c r="H229" s="2">
        <v>50000</v>
      </c>
      <c r="I229" s="2">
        <v>0.1</v>
      </c>
      <c r="J229" s="3">
        <f t="shared" si="4"/>
        <v>45000</v>
      </c>
      <c r="K229" s="2" t="str">
        <f>TEXT(Table4[OrderDate], "mmmm")</f>
        <v>May</v>
      </c>
      <c r="L229" s="2">
        <f>IF(C229 = "", 0, IF(COUNTIF($C$2:C229, C229) = 1, 1, 0))</f>
        <v>0</v>
      </c>
    </row>
    <row r="230" spans="1:12" x14ac:dyDescent="0.25">
      <c r="A230" s="2">
        <v>1229</v>
      </c>
      <c r="B230" s="21" t="s">
        <v>98</v>
      </c>
      <c r="C230" s="2" t="s">
        <v>371</v>
      </c>
      <c r="D230" s="2" t="s">
        <v>376</v>
      </c>
      <c r="E230" s="2" t="s">
        <v>383</v>
      </c>
      <c r="F230" s="2" t="s">
        <v>390</v>
      </c>
      <c r="G230" s="2">
        <v>4</v>
      </c>
      <c r="H230" s="2">
        <v>1500</v>
      </c>
      <c r="I230" s="2">
        <v>0</v>
      </c>
      <c r="J230" s="3">
        <f t="shared" si="4"/>
        <v>6000</v>
      </c>
      <c r="K230" s="2" t="str">
        <f>TEXT(Table4[OrderDate], "mmmm")</f>
        <v>August</v>
      </c>
      <c r="L230" s="2">
        <f>IF(C230 = "", 0, IF(COUNTIF($C$2:C230, C230) = 1, 1, 0))</f>
        <v>0</v>
      </c>
    </row>
    <row r="231" spans="1:12" x14ac:dyDescent="0.25">
      <c r="A231" s="2">
        <v>1454</v>
      </c>
      <c r="B231" s="21" t="s">
        <v>17</v>
      </c>
      <c r="C231" s="2" t="s">
        <v>358</v>
      </c>
      <c r="D231" s="2" t="s">
        <v>378</v>
      </c>
      <c r="E231" s="2" t="s">
        <v>384</v>
      </c>
      <c r="F231" s="2" t="s">
        <v>389</v>
      </c>
      <c r="G231" s="2">
        <v>5</v>
      </c>
      <c r="H231" s="2">
        <v>30000</v>
      </c>
      <c r="I231" s="2">
        <v>0.1</v>
      </c>
      <c r="J231" s="3">
        <f t="shared" si="4"/>
        <v>135000</v>
      </c>
      <c r="K231" s="2" t="str">
        <f>TEXT(Table4[OrderDate], "mmmm")</f>
        <v>November</v>
      </c>
      <c r="L231" s="2">
        <f>IF(C231 = "", 0, IF(COUNTIF($C$2:C231, C231) = 1, 1, 0))</f>
        <v>0</v>
      </c>
    </row>
    <row r="232" spans="1:12" x14ac:dyDescent="0.25">
      <c r="A232" s="2">
        <v>1231</v>
      </c>
      <c r="B232" s="21" t="s">
        <v>185</v>
      </c>
      <c r="C232" s="2" t="s">
        <v>357</v>
      </c>
      <c r="D232" s="2" t="s">
        <v>380</v>
      </c>
      <c r="E232" s="2" t="s">
        <v>385</v>
      </c>
      <c r="F232" s="2" t="s">
        <v>390</v>
      </c>
      <c r="G232" s="2">
        <v>1</v>
      </c>
      <c r="H232" s="2">
        <v>2000</v>
      </c>
      <c r="I232" s="2">
        <v>0.05</v>
      </c>
      <c r="J232" s="3">
        <f t="shared" si="4"/>
        <v>1900</v>
      </c>
      <c r="K232" s="2" t="str">
        <f>TEXT(Table4[OrderDate], "mmmm")</f>
        <v>January</v>
      </c>
      <c r="L232" s="2">
        <f>IF(C232 = "", 0, IF(COUNTIF($C$2:C232, C232) = 1, 1, 0))</f>
        <v>0</v>
      </c>
    </row>
    <row r="233" spans="1:12" x14ac:dyDescent="0.25">
      <c r="A233" s="2">
        <v>1563</v>
      </c>
      <c r="B233" s="21" t="s">
        <v>297</v>
      </c>
      <c r="C233" s="2" t="s">
        <v>365</v>
      </c>
      <c r="D233" s="2" t="s">
        <v>377</v>
      </c>
      <c r="E233" s="2" t="s">
        <v>384</v>
      </c>
      <c r="F233" s="2" t="s">
        <v>389</v>
      </c>
      <c r="G233" s="2">
        <v>5</v>
      </c>
      <c r="H233" s="2">
        <v>30000</v>
      </c>
      <c r="I233" s="2">
        <v>0.1</v>
      </c>
      <c r="J233" s="3">
        <f t="shared" si="4"/>
        <v>135000</v>
      </c>
      <c r="K233" s="2" t="str">
        <f>TEXT(Table4[OrderDate], "mmmm")</f>
        <v>June</v>
      </c>
      <c r="L233" s="2">
        <f>IF(C233 = "", 0, IF(COUNTIF($C$2:C233, C233) = 1, 1, 0))</f>
        <v>0</v>
      </c>
    </row>
    <row r="234" spans="1:12" x14ac:dyDescent="0.25">
      <c r="A234" s="2">
        <v>1233</v>
      </c>
      <c r="B234" s="21" t="s">
        <v>142</v>
      </c>
      <c r="C234" s="2" t="s">
        <v>372</v>
      </c>
      <c r="D234" s="2" t="s">
        <v>376</v>
      </c>
      <c r="E234" s="2" t="s">
        <v>383</v>
      </c>
      <c r="F234" s="2" t="s">
        <v>390</v>
      </c>
      <c r="G234" s="2">
        <v>4</v>
      </c>
      <c r="H234" s="2">
        <v>1500</v>
      </c>
      <c r="I234" s="2">
        <v>0.1</v>
      </c>
      <c r="J234" s="3">
        <f t="shared" si="4"/>
        <v>5400</v>
      </c>
      <c r="K234" s="2" t="str">
        <f>TEXT(Table4[OrderDate], "mmmm")</f>
        <v>December</v>
      </c>
      <c r="L234" s="2">
        <f>IF(C234 = "", 0, IF(COUNTIF($C$2:C234, C234) = 1, 1, 0))</f>
        <v>0</v>
      </c>
    </row>
    <row r="235" spans="1:12" x14ac:dyDescent="0.25">
      <c r="A235" s="2">
        <v>1234</v>
      </c>
      <c r="B235" s="21" t="s">
        <v>186</v>
      </c>
      <c r="C235" s="2" t="s">
        <v>368</v>
      </c>
      <c r="D235" s="2" t="s">
        <v>379</v>
      </c>
      <c r="E235" s="2" t="s">
        <v>381</v>
      </c>
      <c r="F235" s="2" t="s">
        <v>389</v>
      </c>
      <c r="G235" s="2">
        <v>3</v>
      </c>
      <c r="H235" s="2">
        <v>20000</v>
      </c>
      <c r="I235" s="2">
        <v>0</v>
      </c>
      <c r="J235" s="3">
        <f t="shared" si="4"/>
        <v>60000</v>
      </c>
      <c r="K235" s="2" t="str">
        <f>TEXT(Table4[OrderDate], "mmmm")</f>
        <v>October</v>
      </c>
      <c r="L235" s="2">
        <f>IF(C235 = "", 0, IF(COUNTIF($C$2:C235, C235) = 1, 1, 0))</f>
        <v>0</v>
      </c>
    </row>
    <row r="236" spans="1:12" x14ac:dyDescent="0.25">
      <c r="A236" s="2">
        <v>1653</v>
      </c>
      <c r="B236" s="21" t="s">
        <v>212</v>
      </c>
      <c r="C236" s="2" t="s">
        <v>362</v>
      </c>
      <c r="D236" s="2" t="s">
        <v>376</v>
      </c>
      <c r="E236" s="2" t="s">
        <v>384</v>
      </c>
      <c r="F236" s="2" t="s">
        <v>389</v>
      </c>
      <c r="G236" s="2">
        <v>5</v>
      </c>
      <c r="H236" s="2">
        <v>30000</v>
      </c>
      <c r="I236" s="2">
        <v>0.1</v>
      </c>
      <c r="J236" s="3">
        <f t="shared" si="4"/>
        <v>135000</v>
      </c>
      <c r="K236" s="2" t="str">
        <f>TEXT(Table4[OrderDate], "mmmm")</f>
        <v>December</v>
      </c>
      <c r="L236" s="2">
        <f>IF(C236 = "", 0, IF(COUNTIF($C$2:C236, C236) = 1, 1, 0))</f>
        <v>0</v>
      </c>
    </row>
    <row r="237" spans="1:12" x14ac:dyDescent="0.25">
      <c r="A237" s="2">
        <v>1236</v>
      </c>
      <c r="B237" s="21" t="s">
        <v>57</v>
      </c>
      <c r="C237" s="2" t="s">
        <v>365</v>
      </c>
      <c r="D237" s="2" t="s">
        <v>379</v>
      </c>
      <c r="E237" s="2" t="s">
        <v>385</v>
      </c>
      <c r="F237" s="2" t="s">
        <v>390</v>
      </c>
      <c r="G237" s="2">
        <v>3</v>
      </c>
      <c r="H237" s="2">
        <v>2000</v>
      </c>
      <c r="I237" s="2">
        <v>0.15</v>
      </c>
      <c r="J237" s="3">
        <f t="shared" si="4"/>
        <v>5100</v>
      </c>
      <c r="K237" s="2" t="str">
        <f>TEXT(Table4[OrderDate], "mmmm")</f>
        <v>March</v>
      </c>
      <c r="L237" s="2">
        <f>IF(C237 = "", 0, IF(COUNTIF($C$2:C237, C237) = 1, 1, 0))</f>
        <v>0</v>
      </c>
    </row>
    <row r="238" spans="1:12" x14ac:dyDescent="0.25">
      <c r="A238" s="2">
        <v>1237</v>
      </c>
      <c r="B238" s="21" t="s">
        <v>20</v>
      </c>
      <c r="C238" s="2" t="s">
        <v>365</v>
      </c>
      <c r="D238" s="2" t="s">
        <v>378</v>
      </c>
      <c r="E238" s="2" t="s">
        <v>383</v>
      </c>
      <c r="F238" s="2" t="s">
        <v>390</v>
      </c>
      <c r="G238" s="2">
        <v>3</v>
      </c>
      <c r="H238" s="2">
        <v>1500</v>
      </c>
      <c r="I238" s="2">
        <v>0.05</v>
      </c>
      <c r="J238" s="3">
        <f t="shared" si="4"/>
        <v>4275</v>
      </c>
      <c r="K238" s="2" t="str">
        <f>TEXT(Table4[OrderDate], "mmmm")</f>
        <v>December</v>
      </c>
      <c r="L238" s="2">
        <f>IF(C238 = "", 0, IF(COUNTIF($C$2:C238, C238) = 1, 1, 0))</f>
        <v>0</v>
      </c>
    </row>
    <row r="239" spans="1:12" x14ac:dyDescent="0.25">
      <c r="A239" s="2">
        <v>1238</v>
      </c>
      <c r="B239" s="21" t="s">
        <v>183</v>
      </c>
      <c r="C239" s="2" t="s">
        <v>369</v>
      </c>
      <c r="D239" s="2" t="s">
        <v>375</v>
      </c>
      <c r="E239" s="2" t="s">
        <v>385</v>
      </c>
      <c r="F239" s="2" t="s">
        <v>390</v>
      </c>
      <c r="G239" s="2">
        <v>1</v>
      </c>
      <c r="H239" s="2">
        <v>2000</v>
      </c>
      <c r="I239" s="2">
        <v>0.1</v>
      </c>
      <c r="J239" s="3">
        <f t="shared" si="4"/>
        <v>1800</v>
      </c>
      <c r="K239" s="2" t="str">
        <f>TEXT(Table4[OrderDate], "mmmm")</f>
        <v>June</v>
      </c>
      <c r="L239" s="2">
        <f>IF(C239 = "", 0, IF(COUNTIF($C$2:C239, C239) = 1, 1, 0))</f>
        <v>0</v>
      </c>
    </row>
    <row r="240" spans="1:12" x14ac:dyDescent="0.25">
      <c r="A240" s="2">
        <v>1239</v>
      </c>
      <c r="B240" s="21" t="s">
        <v>187</v>
      </c>
      <c r="C240" s="2" t="s">
        <v>361</v>
      </c>
      <c r="D240" s="2" t="s">
        <v>373</v>
      </c>
      <c r="E240" s="2" t="s">
        <v>385</v>
      </c>
      <c r="F240" s="2" t="s">
        <v>390</v>
      </c>
      <c r="G240" s="2">
        <v>4</v>
      </c>
      <c r="H240" s="2">
        <v>2000</v>
      </c>
      <c r="I240" s="2">
        <v>0.05</v>
      </c>
      <c r="J240" s="3">
        <f t="shared" si="4"/>
        <v>7600</v>
      </c>
      <c r="K240" s="2" t="str">
        <f>TEXT(Table4[OrderDate], "mmmm")</f>
        <v>April</v>
      </c>
      <c r="L240" s="2">
        <f>IF(C240 = "", 0, IF(COUNTIF($C$2:C240, C240) = 1, 1, 0))</f>
        <v>0</v>
      </c>
    </row>
    <row r="241" spans="1:12" x14ac:dyDescent="0.25">
      <c r="A241" s="2">
        <v>1240</v>
      </c>
      <c r="B241" s="21" t="s">
        <v>31</v>
      </c>
      <c r="C241" s="2" t="s">
        <v>372</v>
      </c>
      <c r="D241" s="2" t="s">
        <v>376</v>
      </c>
      <c r="E241" s="2" t="s">
        <v>381</v>
      </c>
      <c r="F241" s="2" t="s">
        <v>389</v>
      </c>
      <c r="G241" s="2">
        <v>3</v>
      </c>
      <c r="H241" s="2">
        <v>20000</v>
      </c>
      <c r="I241" s="2">
        <v>0</v>
      </c>
      <c r="J241" s="3">
        <f t="shared" si="4"/>
        <v>60000</v>
      </c>
      <c r="K241" s="2" t="str">
        <f>TEXT(Table4[OrderDate], "mmmm")</f>
        <v>September</v>
      </c>
      <c r="L241" s="2">
        <f>IF(C241 = "", 0, IF(COUNTIF($C$2:C241, C241) = 1, 1, 0))</f>
        <v>0</v>
      </c>
    </row>
    <row r="242" spans="1:12" x14ac:dyDescent="0.25">
      <c r="A242" s="2">
        <v>1693</v>
      </c>
      <c r="B242" s="21" t="s">
        <v>271</v>
      </c>
      <c r="C242" s="2" t="s">
        <v>358</v>
      </c>
      <c r="D242" s="2" t="s">
        <v>373</v>
      </c>
      <c r="E242" s="2" t="s">
        <v>384</v>
      </c>
      <c r="F242" s="2" t="s">
        <v>389</v>
      </c>
      <c r="G242" s="2">
        <v>5</v>
      </c>
      <c r="H242" s="2">
        <v>30000</v>
      </c>
      <c r="I242" s="2">
        <v>0.1</v>
      </c>
      <c r="J242" s="3">
        <f t="shared" si="4"/>
        <v>135000</v>
      </c>
      <c r="K242" s="2" t="str">
        <f>TEXT(Table4[OrderDate], "mmmm")</f>
        <v>June</v>
      </c>
      <c r="L242" s="2">
        <f>IF(C242 = "", 0, IF(COUNTIF($C$2:C242, C242) = 1, 1, 0))</f>
        <v>0</v>
      </c>
    </row>
    <row r="243" spans="1:12" x14ac:dyDescent="0.25">
      <c r="A243" s="2">
        <v>1242</v>
      </c>
      <c r="B243" s="21" t="s">
        <v>189</v>
      </c>
      <c r="C243" s="2" t="s">
        <v>364</v>
      </c>
      <c r="D243" s="2" t="s">
        <v>375</v>
      </c>
      <c r="E243" s="2" t="s">
        <v>384</v>
      </c>
      <c r="F243" s="2" t="s">
        <v>389</v>
      </c>
      <c r="G243" s="2">
        <v>4</v>
      </c>
      <c r="H243" s="2">
        <v>30000</v>
      </c>
      <c r="I243" s="2">
        <v>0</v>
      </c>
      <c r="J243" s="3">
        <f t="shared" si="4"/>
        <v>120000</v>
      </c>
      <c r="K243" s="2" t="str">
        <f>TEXT(Table4[OrderDate], "mmmm")</f>
        <v>July</v>
      </c>
      <c r="L243" s="2">
        <f>IF(C243 = "", 0, IF(COUNTIF($C$2:C243, C243) = 1, 1, 0))</f>
        <v>0</v>
      </c>
    </row>
    <row r="244" spans="1:12" x14ac:dyDescent="0.25">
      <c r="A244" s="2">
        <v>1760</v>
      </c>
      <c r="B244" s="21" t="s">
        <v>244</v>
      </c>
      <c r="C244" s="2" t="s">
        <v>360</v>
      </c>
      <c r="D244" s="2" t="s">
        <v>380</v>
      </c>
      <c r="E244" s="2" t="s">
        <v>384</v>
      </c>
      <c r="F244" s="2" t="s">
        <v>389</v>
      </c>
      <c r="G244" s="2">
        <v>5</v>
      </c>
      <c r="H244" s="2">
        <v>30000</v>
      </c>
      <c r="I244" s="2">
        <v>0.1</v>
      </c>
      <c r="J244" s="3">
        <f t="shared" si="4"/>
        <v>135000</v>
      </c>
      <c r="K244" s="2" t="str">
        <f>TEXT(Table4[OrderDate], "mmmm")</f>
        <v>May</v>
      </c>
      <c r="L244" s="2">
        <f>IF(C244 = "", 0, IF(COUNTIF($C$2:C244, C244) = 1, 1, 0))</f>
        <v>0</v>
      </c>
    </row>
    <row r="245" spans="1:12" x14ac:dyDescent="0.25">
      <c r="A245" s="2">
        <v>1244</v>
      </c>
      <c r="B245" s="21" t="s">
        <v>191</v>
      </c>
      <c r="C245" s="2" t="s">
        <v>363</v>
      </c>
      <c r="D245" s="2" t="s">
        <v>380</v>
      </c>
      <c r="E245" s="2" t="s">
        <v>386</v>
      </c>
      <c r="F245" s="2" t="s">
        <v>391</v>
      </c>
      <c r="G245" s="2">
        <v>4</v>
      </c>
      <c r="H245" s="2">
        <v>7000</v>
      </c>
      <c r="I245" s="2">
        <v>0.05</v>
      </c>
      <c r="J245" s="3">
        <f t="shared" si="4"/>
        <v>26600</v>
      </c>
      <c r="K245" s="2" t="str">
        <f>TEXT(Table4[OrderDate], "mmmm")</f>
        <v>July</v>
      </c>
      <c r="L245" s="2">
        <f>IF(C245 = "", 0, IF(COUNTIF($C$2:C245, C245) = 1, 1, 0))</f>
        <v>0</v>
      </c>
    </row>
    <row r="246" spans="1:12" x14ac:dyDescent="0.25">
      <c r="A246" s="2">
        <v>1245</v>
      </c>
      <c r="B246" s="21" t="s">
        <v>32</v>
      </c>
      <c r="C246" s="2" t="s">
        <v>371</v>
      </c>
      <c r="D246" s="2" t="s">
        <v>373</v>
      </c>
      <c r="E246" s="2" t="s">
        <v>386</v>
      </c>
      <c r="F246" s="2" t="s">
        <v>391</v>
      </c>
      <c r="G246" s="2">
        <v>4</v>
      </c>
      <c r="H246" s="2">
        <v>7000</v>
      </c>
      <c r="I246" s="2">
        <v>0.15</v>
      </c>
      <c r="J246" s="3">
        <f t="shared" si="4"/>
        <v>23800</v>
      </c>
      <c r="K246" s="2" t="str">
        <f>TEXT(Table4[OrderDate], "mmmm")</f>
        <v>March</v>
      </c>
      <c r="L246" s="2">
        <f>IF(C246 = "", 0, IF(COUNTIF($C$2:C246, C246) = 1, 1, 0))</f>
        <v>0</v>
      </c>
    </row>
    <row r="247" spans="1:12" x14ac:dyDescent="0.25">
      <c r="A247" s="2">
        <v>1246</v>
      </c>
      <c r="B247" s="21" t="s">
        <v>192</v>
      </c>
      <c r="C247" s="2" t="s">
        <v>362</v>
      </c>
      <c r="D247" s="2" t="s">
        <v>377</v>
      </c>
      <c r="E247" s="2" t="s">
        <v>386</v>
      </c>
      <c r="F247" s="2" t="s">
        <v>391</v>
      </c>
      <c r="G247" s="2">
        <v>1</v>
      </c>
      <c r="H247" s="2">
        <v>7000</v>
      </c>
      <c r="I247" s="2">
        <v>0.15</v>
      </c>
      <c r="J247" s="3">
        <f t="shared" si="4"/>
        <v>5950</v>
      </c>
      <c r="K247" s="2" t="str">
        <f>TEXT(Table4[OrderDate], "mmmm")</f>
        <v>July</v>
      </c>
      <c r="L247" s="2">
        <f>IF(C247 = "", 0, IF(COUNTIF($C$2:C247, C247) = 1, 1, 0))</f>
        <v>0</v>
      </c>
    </row>
    <row r="248" spans="1:12" x14ac:dyDescent="0.25">
      <c r="A248" s="2">
        <v>1247</v>
      </c>
      <c r="B248" s="21" t="s">
        <v>88</v>
      </c>
      <c r="C248" s="2" t="s">
        <v>363</v>
      </c>
      <c r="D248" s="2" t="s">
        <v>373</v>
      </c>
      <c r="E248" s="2" t="s">
        <v>386</v>
      </c>
      <c r="F248" s="2" t="s">
        <v>391</v>
      </c>
      <c r="G248" s="2">
        <v>1</v>
      </c>
      <c r="H248" s="2">
        <v>7000</v>
      </c>
      <c r="I248" s="2">
        <v>0.05</v>
      </c>
      <c r="J248" s="3">
        <f t="shared" si="4"/>
        <v>6650</v>
      </c>
      <c r="K248" s="2" t="str">
        <f>TEXT(Table4[OrderDate], "mmmm")</f>
        <v>May</v>
      </c>
      <c r="L248" s="2">
        <f>IF(C248 = "", 0, IF(COUNTIF($C$2:C248, C248) = 1, 1, 0))</f>
        <v>0</v>
      </c>
    </row>
    <row r="249" spans="1:12" x14ac:dyDescent="0.25">
      <c r="A249" s="2">
        <v>1248</v>
      </c>
      <c r="B249" s="21" t="s">
        <v>98</v>
      </c>
      <c r="C249" s="2" t="s">
        <v>364</v>
      </c>
      <c r="D249" s="2" t="s">
        <v>374</v>
      </c>
      <c r="E249" s="2" t="s">
        <v>383</v>
      </c>
      <c r="F249" s="2" t="s">
        <v>390</v>
      </c>
      <c r="G249" s="2">
        <v>1</v>
      </c>
      <c r="H249" s="2">
        <v>1500</v>
      </c>
      <c r="I249" s="2">
        <v>0.05</v>
      </c>
      <c r="J249" s="3">
        <f t="shared" si="4"/>
        <v>1425</v>
      </c>
      <c r="K249" s="2" t="str">
        <f>TEXT(Table4[OrderDate], "mmmm")</f>
        <v>August</v>
      </c>
      <c r="L249" s="2">
        <f>IF(C249 = "", 0, IF(COUNTIF($C$2:C249, C249) = 1, 1, 0))</f>
        <v>0</v>
      </c>
    </row>
    <row r="250" spans="1:12" x14ac:dyDescent="0.25">
      <c r="A250" s="2">
        <v>1249</v>
      </c>
      <c r="B250" s="21" t="s">
        <v>193</v>
      </c>
      <c r="C250" s="2" t="s">
        <v>364</v>
      </c>
      <c r="D250" s="2" t="s">
        <v>375</v>
      </c>
      <c r="E250" s="2" t="s">
        <v>383</v>
      </c>
      <c r="F250" s="2" t="s">
        <v>390</v>
      </c>
      <c r="G250" s="2">
        <v>1</v>
      </c>
      <c r="H250" s="2">
        <v>1500</v>
      </c>
      <c r="I250" s="2">
        <v>0.15</v>
      </c>
      <c r="J250" s="3">
        <f t="shared" si="4"/>
        <v>1275</v>
      </c>
      <c r="K250" s="2" t="str">
        <f>TEXT(Table4[OrderDate], "mmmm")</f>
        <v>September</v>
      </c>
      <c r="L250" s="2">
        <f>IF(C250 = "", 0, IF(COUNTIF($C$2:C250, C250) = 1, 1, 0))</f>
        <v>0</v>
      </c>
    </row>
    <row r="251" spans="1:12" x14ac:dyDescent="0.25">
      <c r="A251" s="2">
        <v>1250</v>
      </c>
      <c r="B251" s="21" t="s">
        <v>65</v>
      </c>
      <c r="C251" s="2" t="s">
        <v>359</v>
      </c>
      <c r="D251" s="2" t="s">
        <v>376</v>
      </c>
      <c r="E251" s="2" t="s">
        <v>383</v>
      </c>
      <c r="F251" s="2" t="s">
        <v>390</v>
      </c>
      <c r="G251" s="2">
        <v>1</v>
      </c>
      <c r="H251" s="2">
        <v>1500</v>
      </c>
      <c r="I251" s="2">
        <v>0.1</v>
      </c>
      <c r="J251" s="3">
        <f t="shared" si="4"/>
        <v>1350</v>
      </c>
      <c r="K251" s="2" t="str">
        <f>TEXT(Table4[OrderDate], "mmmm")</f>
        <v>April</v>
      </c>
      <c r="L251" s="2">
        <f>IF(C251 = "", 0, IF(COUNTIF($C$2:C251, C251) = 1, 1, 0))</f>
        <v>0</v>
      </c>
    </row>
    <row r="252" spans="1:12" x14ac:dyDescent="0.25">
      <c r="A252" s="2">
        <v>1251</v>
      </c>
      <c r="B252" s="21" t="s">
        <v>174</v>
      </c>
      <c r="C252" s="2" t="s">
        <v>372</v>
      </c>
      <c r="D252" s="2" t="s">
        <v>379</v>
      </c>
      <c r="E252" s="2" t="s">
        <v>381</v>
      </c>
      <c r="F252" s="2" t="s">
        <v>389</v>
      </c>
      <c r="G252" s="2">
        <v>3</v>
      </c>
      <c r="H252" s="2">
        <v>20000</v>
      </c>
      <c r="I252" s="2">
        <v>0.05</v>
      </c>
      <c r="J252" s="3">
        <f t="shared" si="4"/>
        <v>57000</v>
      </c>
      <c r="K252" s="2" t="str">
        <f>TEXT(Table4[OrderDate], "mmmm")</f>
        <v>March</v>
      </c>
      <c r="L252" s="2">
        <f>IF(C252 = "", 0, IF(COUNTIF($C$2:C252, C252) = 1, 1, 0))</f>
        <v>0</v>
      </c>
    </row>
    <row r="253" spans="1:12" x14ac:dyDescent="0.25">
      <c r="A253" s="2">
        <v>1252</v>
      </c>
      <c r="B253" s="21" t="s">
        <v>190</v>
      </c>
      <c r="C253" s="2" t="s">
        <v>359</v>
      </c>
      <c r="D253" s="2" t="s">
        <v>377</v>
      </c>
      <c r="E253" s="2" t="s">
        <v>388</v>
      </c>
      <c r="F253" s="2" t="s">
        <v>389</v>
      </c>
      <c r="G253" s="2">
        <v>2</v>
      </c>
      <c r="H253" s="2">
        <v>12000</v>
      </c>
      <c r="I253" s="2">
        <v>0.15</v>
      </c>
      <c r="J253" s="3">
        <f t="shared" si="4"/>
        <v>20400</v>
      </c>
      <c r="K253" s="2" t="str">
        <f>TEXT(Table4[OrderDate], "mmmm")</f>
        <v>August</v>
      </c>
      <c r="L253" s="2">
        <f>IF(C253 = "", 0, IF(COUNTIF($C$2:C253, C253) = 1, 1, 0))</f>
        <v>0</v>
      </c>
    </row>
    <row r="254" spans="1:12" x14ac:dyDescent="0.25">
      <c r="A254" s="2">
        <v>1253</v>
      </c>
      <c r="B254" s="21" t="s">
        <v>128</v>
      </c>
      <c r="C254" s="2" t="s">
        <v>358</v>
      </c>
      <c r="D254" s="2" t="s">
        <v>377</v>
      </c>
      <c r="E254" s="2" t="s">
        <v>382</v>
      </c>
      <c r="F254" s="2" t="s">
        <v>389</v>
      </c>
      <c r="G254" s="2">
        <v>3</v>
      </c>
      <c r="H254" s="2">
        <v>50000</v>
      </c>
      <c r="I254" s="2">
        <v>0.05</v>
      </c>
      <c r="J254" s="3">
        <f t="shared" si="4"/>
        <v>142500</v>
      </c>
      <c r="K254" s="2" t="str">
        <f>TEXT(Table4[OrderDate], "mmmm")</f>
        <v>March</v>
      </c>
      <c r="L254" s="2">
        <f>IF(C254 = "", 0, IF(COUNTIF($C$2:C254, C254) = 1, 1, 0))</f>
        <v>0</v>
      </c>
    </row>
    <row r="255" spans="1:12" x14ac:dyDescent="0.25">
      <c r="A255" s="2">
        <v>1254</v>
      </c>
      <c r="B255" s="21" t="s">
        <v>194</v>
      </c>
      <c r="C255" s="2" t="s">
        <v>372</v>
      </c>
      <c r="D255" s="2" t="s">
        <v>375</v>
      </c>
      <c r="E255" s="2" t="s">
        <v>386</v>
      </c>
      <c r="F255" s="2" t="s">
        <v>391</v>
      </c>
      <c r="G255" s="2">
        <v>2</v>
      </c>
      <c r="H255" s="2">
        <v>7000</v>
      </c>
      <c r="I255" s="2">
        <v>0.1</v>
      </c>
      <c r="J255" s="3">
        <f t="shared" si="4"/>
        <v>12600</v>
      </c>
      <c r="K255" s="2" t="str">
        <f>TEXT(Table4[OrderDate], "mmmm")</f>
        <v>March</v>
      </c>
      <c r="L255" s="2">
        <f>IF(C255 = "", 0, IF(COUNTIF($C$2:C255, C255) = 1, 1, 0))</f>
        <v>0</v>
      </c>
    </row>
    <row r="256" spans="1:12" x14ac:dyDescent="0.25">
      <c r="A256" s="2">
        <v>1766</v>
      </c>
      <c r="B256" s="21" t="s">
        <v>332</v>
      </c>
      <c r="C256" s="2" t="s">
        <v>370</v>
      </c>
      <c r="D256" s="2" t="s">
        <v>379</v>
      </c>
      <c r="E256" s="2" t="s">
        <v>384</v>
      </c>
      <c r="F256" s="2" t="s">
        <v>389</v>
      </c>
      <c r="G256" s="2">
        <v>5</v>
      </c>
      <c r="H256" s="2">
        <v>30000</v>
      </c>
      <c r="I256" s="2">
        <v>0.1</v>
      </c>
      <c r="J256" s="3">
        <f t="shared" si="4"/>
        <v>135000</v>
      </c>
      <c r="K256" s="2" t="str">
        <f>TEXT(Table4[OrderDate], "mmmm")</f>
        <v>September</v>
      </c>
      <c r="L256" s="2">
        <f>IF(C256 = "", 0, IF(COUNTIF($C$2:C256, C256) = 1, 1, 0))</f>
        <v>0</v>
      </c>
    </row>
    <row r="257" spans="1:12" x14ac:dyDescent="0.25">
      <c r="A257" s="2">
        <v>1934</v>
      </c>
      <c r="B257" s="21" t="s">
        <v>60</v>
      </c>
      <c r="C257" s="2" t="s">
        <v>368</v>
      </c>
      <c r="D257" s="2" t="s">
        <v>373</v>
      </c>
      <c r="E257" s="2" t="s">
        <v>384</v>
      </c>
      <c r="F257" s="2" t="s">
        <v>389</v>
      </c>
      <c r="G257" s="2">
        <v>5</v>
      </c>
      <c r="H257" s="2">
        <v>30000</v>
      </c>
      <c r="I257" s="2">
        <v>0.1</v>
      </c>
      <c r="J257" s="3">
        <f t="shared" si="4"/>
        <v>135000</v>
      </c>
      <c r="K257" s="2" t="str">
        <f>TEXT(Table4[OrderDate], "mmmm")</f>
        <v>July</v>
      </c>
      <c r="L257" s="2">
        <f>IF(C257 = "", 0, IF(COUNTIF($C$2:C257, C257) = 1, 1, 0))</f>
        <v>0</v>
      </c>
    </row>
    <row r="258" spans="1:12" x14ac:dyDescent="0.25">
      <c r="A258" s="2">
        <v>1032</v>
      </c>
      <c r="B258" s="21" t="s">
        <v>38</v>
      </c>
      <c r="C258" s="2" t="s">
        <v>367</v>
      </c>
      <c r="D258" s="2" t="s">
        <v>378</v>
      </c>
      <c r="E258" s="2" t="s">
        <v>384</v>
      </c>
      <c r="F258" s="2" t="s">
        <v>389</v>
      </c>
      <c r="G258" s="2">
        <v>5</v>
      </c>
      <c r="H258" s="2">
        <v>30000</v>
      </c>
      <c r="I258" s="2">
        <v>0.15</v>
      </c>
      <c r="J258" s="3">
        <f t="shared" ref="J258:J321" si="5">H258*(1-I258)*G258</f>
        <v>127500</v>
      </c>
      <c r="K258" s="2" t="str">
        <f>TEXT(Table4[OrderDate], "mmmm")</f>
        <v>May</v>
      </c>
      <c r="L258" s="2">
        <f>IF(C258 = "", 0, IF(COUNTIF($C$2:C258, C258) = 1, 1, 0))</f>
        <v>0</v>
      </c>
    </row>
    <row r="259" spans="1:12" x14ac:dyDescent="0.25">
      <c r="A259" s="2">
        <v>1241</v>
      </c>
      <c r="B259" s="21" t="s">
        <v>188</v>
      </c>
      <c r="C259" s="2" t="s">
        <v>369</v>
      </c>
      <c r="D259" s="2" t="s">
        <v>373</v>
      </c>
      <c r="E259" s="2" t="s">
        <v>384</v>
      </c>
      <c r="F259" s="2" t="s">
        <v>389</v>
      </c>
      <c r="G259" s="2">
        <v>5</v>
      </c>
      <c r="H259" s="2">
        <v>30000</v>
      </c>
      <c r="I259" s="2">
        <v>0.15</v>
      </c>
      <c r="J259" s="3">
        <f t="shared" si="5"/>
        <v>127500</v>
      </c>
      <c r="K259" s="2" t="str">
        <f>TEXT(Table4[OrderDate], "mmmm")</f>
        <v>March</v>
      </c>
      <c r="L259" s="2">
        <f>IF(C259 = "", 0, IF(COUNTIF($C$2:C259, C259) = 1, 1, 0))</f>
        <v>0</v>
      </c>
    </row>
    <row r="260" spans="1:12" x14ac:dyDescent="0.25">
      <c r="A260" s="2">
        <v>1259</v>
      </c>
      <c r="B260" s="21" t="s">
        <v>197</v>
      </c>
      <c r="C260" s="2" t="s">
        <v>360</v>
      </c>
      <c r="D260" s="2" t="s">
        <v>374</v>
      </c>
      <c r="E260" s="2" t="s">
        <v>388</v>
      </c>
      <c r="F260" s="2" t="s">
        <v>389</v>
      </c>
      <c r="G260" s="2">
        <v>1</v>
      </c>
      <c r="H260" s="2">
        <v>12000</v>
      </c>
      <c r="I260" s="2">
        <v>0.15</v>
      </c>
      <c r="J260" s="3">
        <f t="shared" si="5"/>
        <v>10200</v>
      </c>
      <c r="K260" s="2" t="str">
        <f>TEXT(Table4[OrderDate], "mmmm")</f>
        <v>July</v>
      </c>
      <c r="L260" s="2">
        <f>IF(C260 = "", 0, IF(COUNTIF($C$2:C260, C260) = 1, 1, 0))</f>
        <v>0</v>
      </c>
    </row>
    <row r="261" spans="1:12" x14ac:dyDescent="0.25">
      <c r="A261" s="2">
        <v>1260</v>
      </c>
      <c r="B261" s="21" t="s">
        <v>195</v>
      </c>
      <c r="C261" s="2" t="s">
        <v>362</v>
      </c>
      <c r="D261" s="2" t="s">
        <v>376</v>
      </c>
      <c r="E261" s="2" t="s">
        <v>385</v>
      </c>
      <c r="F261" s="2" t="s">
        <v>390</v>
      </c>
      <c r="G261" s="2">
        <v>1</v>
      </c>
      <c r="H261" s="2">
        <v>2000</v>
      </c>
      <c r="I261" s="2">
        <v>0.1</v>
      </c>
      <c r="J261" s="3">
        <f t="shared" si="5"/>
        <v>1800</v>
      </c>
      <c r="K261" s="2" t="str">
        <f>TEXT(Table4[OrderDate], "mmmm")</f>
        <v>May</v>
      </c>
      <c r="L261" s="2">
        <f>IF(C261 = "", 0, IF(COUNTIF($C$2:C261, C261) = 1, 1, 0))</f>
        <v>0</v>
      </c>
    </row>
    <row r="262" spans="1:12" x14ac:dyDescent="0.25">
      <c r="A262" s="2">
        <v>1261</v>
      </c>
      <c r="B262" s="21" t="s">
        <v>198</v>
      </c>
      <c r="C262" s="2" t="s">
        <v>366</v>
      </c>
      <c r="D262" s="2" t="s">
        <v>373</v>
      </c>
      <c r="E262" s="2" t="s">
        <v>384</v>
      </c>
      <c r="F262" s="2" t="s">
        <v>389</v>
      </c>
      <c r="G262" s="2">
        <v>1</v>
      </c>
      <c r="H262" s="2">
        <v>30000</v>
      </c>
      <c r="I262" s="2">
        <v>0.1</v>
      </c>
      <c r="J262" s="3">
        <f t="shared" si="5"/>
        <v>27000</v>
      </c>
      <c r="K262" s="2" t="str">
        <f>TEXT(Table4[OrderDate], "mmmm")</f>
        <v>October</v>
      </c>
      <c r="L262" s="2">
        <f>IF(C262 = "", 0, IF(COUNTIF($C$2:C262, C262) = 1, 1, 0))</f>
        <v>0</v>
      </c>
    </row>
    <row r="263" spans="1:12" x14ac:dyDescent="0.25">
      <c r="A263" s="2">
        <v>1262</v>
      </c>
      <c r="B263" s="21" t="s">
        <v>199</v>
      </c>
      <c r="C263" s="2" t="s">
        <v>365</v>
      </c>
      <c r="D263" s="2" t="s">
        <v>380</v>
      </c>
      <c r="E263" s="2" t="s">
        <v>388</v>
      </c>
      <c r="F263" s="2" t="s">
        <v>389</v>
      </c>
      <c r="G263" s="2">
        <v>4</v>
      </c>
      <c r="H263" s="2">
        <v>12000</v>
      </c>
      <c r="I263" s="2">
        <v>0.05</v>
      </c>
      <c r="J263" s="3">
        <f t="shared" si="5"/>
        <v>45600</v>
      </c>
      <c r="K263" s="2" t="str">
        <f>TEXT(Table4[OrderDate], "mmmm")</f>
        <v>March</v>
      </c>
      <c r="L263" s="2">
        <f>IF(C263 = "", 0, IF(COUNTIF($C$2:C263, C263) = 1, 1, 0))</f>
        <v>0</v>
      </c>
    </row>
    <row r="264" spans="1:12" x14ac:dyDescent="0.25">
      <c r="A264" s="2">
        <v>1263</v>
      </c>
      <c r="B264" s="21" t="s">
        <v>16</v>
      </c>
      <c r="C264" s="2" t="s">
        <v>371</v>
      </c>
      <c r="D264" s="2" t="s">
        <v>374</v>
      </c>
      <c r="E264" s="2" t="s">
        <v>382</v>
      </c>
      <c r="F264" s="2" t="s">
        <v>389</v>
      </c>
      <c r="G264" s="2">
        <v>3</v>
      </c>
      <c r="H264" s="2">
        <v>50000</v>
      </c>
      <c r="I264" s="2">
        <v>0.05</v>
      </c>
      <c r="J264" s="3">
        <f t="shared" si="5"/>
        <v>142500</v>
      </c>
      <c r="K264" s="2" t="str">
        <f>TEXT(Table4[OrderDate], "mmmm")</f>
        <v>January</v>
      </c>
      <c r="L264" s="2">
        <f>IF(C264 = "", 0, IF(COUNTIF($C$2:C264, C264) = 1, 1, 0))</f>
        <v>0</v>
      </c>
    </row>
    <row r="265" spans="1:12" x14ac:dyDescent="0.25">
      <c r="A265" s="2">
        <v>1264</v>
      </c>
      <c r="B265" s="21" t="s">
        <v>200</v>
      </c>
      <c r="C265" s="2" t="s">
        <v>367</v>
      </c>
      <c r="D265" s="2" t="s">
        <v>379</v>
      </c>
      <c r="E265" s="2" t="s">
        <v>385</v>
      </c>
      <c r="F265" s="2" t="s">
        <v>390</v>
      </c>
      <c r="G265" s="2">
        <v>3</v>
      </c>
      <c r="H265" s="2">
        <v>2000</v>
      </c>
      <c r="I265" s="2">
        <v>0.15</v>
      </c>
      <c r="J265" s="3">
        <f t="shared" si="5"/>
        <v>5100</v>
      </c>
      <c r="K265" s="2" t="str">
        <f>TEXT(Table4[OrderDate], "mmmm")</f>
        <v>October</v>
      </c>
      <c r="L265" s="2">
        <f>IF(C265 = "", 0, IF(COUNTIF($C$2:C265, C265) = 1, 1, 0))</f>
        <v>0</v>
      </c>
    </row>
    <row r="266" spans="1:12" x14ac:dyDescent="0.25">
      <c r="A266" s="2">
        <v>1265</v>
      </c>
      <c r="B266" s="21" t="s">
        <v>201</v>
      </c>
      <c r="C266" s="2" t="s">
        <v>372</v>
      </c>
      <c r="D266" s="2" t="s">
        <v>376</v>
      </c>
      <c r="E266" s="2" t="s">
        <v>382</v>
      </c>
      <c r="F266" s="2" t="s">
        <v>389</v>
      </c>
      <c r="G266" s="2">
        <v>2</v>
      </c>
      <c r="H266" s="2">
        <v>50000</v>
      </c>
      <c r="I266" s="2">
        <v>0.1</v>
      </c>
      <c r="J266" s="3">
        <f t="shared" si="5"/>
        <v>90000</v>
      </c>
      <c r="K266" s="2" t="str">
        <f>TEXT(Table4[OrderDate], "mmmm")</f>
        <v>July</v>
      </c>
      <c r="L266" s="2">
        <f>IF(C266 = "", 0, IF(COUNTIF($C$2:C266, C266) = 1, 1, 0))</f>
        <v>0</v>
      </c>
    </row>
    <row r="267" spans="1:12" x14ac:dyDescent="0.25">
      <c r="A267" s="2">
        <v>1266</v>
      </c>
      <c r="B267" s="21" t="s">
        <v>179</v>
      </c>
      <c r="C267" s="2" t="s">
        <v>368</v>
      </c>
      <c r="D267" s="2" t="s">
        <v>380</v>
      </c>
      <c r="E267" s="2" t="s">
        <v>386</v>
      </c>
      <c r="F267" s="2" t="s">
        <v>391</v>
      </c>
      <c r="G267" s="2">
        <v>1</v>
      </c>
      <c r="H267" s="2">
        <v>7000</v>
      </c>
      <c r="I267" s="2">
        <v>0.1</v>
      </c>
      <c r="J267" s="3">
        <f t="shared" si="5"/>
        <v>6300</v>
      </c>
      <c r="K267" s="2" t="str">
        <f>TEXT(Table4[OrderDate], "mmmm")</f>
        <v>August</v>
      </c>
      <c r="L267" s="2">
        <f>IF(C267 = "", 0, IF(COUNTIF($C$2:C267, C267) = 1, 1, 0))</f>
        <v>0</v>
      </c>
    </row>
    <row r="268" spans="1:12" x14ac:dyDescent="0.25">
      <c r="A268" s="2">
        <v>1267</v>
      </c>
      <c r="B268" s="21" t="s">
        <v>175</v>
      </c>
      <c r="C268" s="2" t="s">
        <v>367</v>
      </c>
      <c r="D268" s="2" t="s">
        <v>376</v>
      </c>
      <c r="E268" s="2" t="s">
        <v>383</v>
      </c>
      <c r="F268" s="2" t="s">
        <v>390</v>
      </c>
      <c r="G268" s="2">
        <v>3</v>
      </c>
      <c r="H268" s="2">
        <v>1500</v>
      </c>
      <c r="I268" s="2">
        <v>0.05</v>
      </c>
      <c r="J268" s="3">
        <f t="shared" si="5"/>
        <v>4275</v>
      </c>
      <c r="K268" s="2" t="str">
        <f>TEXT(Table4[OrderDate], "mmmm")</f>
        <v>September</v>
      </c>
      <c r="L268" s="2">
        <f>IF(C268 = "", 0, IF(COUNTIF($C$2:C268, C268) = 1, 1, 0))</f>
        <v>0</v>
      </c>
    </row>
    <row r="269" spans="1:12" x14ac:dyDescent="0.25">
      <c r="A269" s="2">
        <v>1268</v>
      </c>
      <c r="B269" s="21" t="s">
        <v>202</v>
      </c>
      <c r="C269" s="2" t="s">
        <v>358</v>
      </c>
      <c r="D269" s="2" t="s">
        <v>373</v>
      </c>
      <c r="E269" s="2" t="s">
        <v>386</v>
      </c>
      <c r="F269" s="2" t="s">
        <v>391</v>
      </c>
      <c r="G269" s="2">
        <v>1</v>
      </c>
      <c r="H269" s="2">
        <v>7000</v>
      </c>
      <c r="I269" s="2">
        <v>0.15</v>
      </c>
      <c r="J269" s="3">
        <f t="shared" si="5"/>
        <v>5950</v>
      </c>
      <c r="K269" s="2" t="str">
        <f>TEXT(Table4[OrderDate], "mmmm")</f>
        <v>February</v>
      </c>
      <c r="L269" s="2">
        <f>IF(C269 = "", 0, IF(COUNTIF($C$2:C269, C269) = 1, 1, 0))</f>
        <v>0</v>
      </c>
    </row>
    <row r="270" spans="1:12" x14ac:dyDescent="0.25">
      <c r="A270" s="2">
        <v>1269</v>
      </c>
      <c r="B270" s="21" t="s">
        <v>202</v>
      </c>
      <c r="C270" s="2" t="s">
        <v>366</v>
      </c>
      <c r="D270" s="2" t="s">
        <v>379</v>
      </c>
      <c r="E270" s="2" t="s">
        <v>386</v>
      </c>
      <c r="F270" s="2" t="s">
        <v>391</v>
      </c>
      <c r="G270" s="2">
        <v>3</v>
      </c>
      <c r="H270" s="2">
        <v>7000</v>
      </c>
      <c r="I270" s="2">
        <v>0</v>
      </c>
      <c r="J270" s="3">
        <f t="shared" si="5"/>
        <v>21000</v>
      </c>
      <c r="K270" s="2" t="str">
        <f>TEXT(Table4[OrderDate], "mmmm")</f>
        <v>February</v>
      </c>
      <c r="L270" s="2">
        <f>IF(C270 = "", 0, IF(COUNTIF($C$2:C270, C270) = 1, 1, 0))</f>
        <v>0</v>
      </c>
    </row>
    <row r="271" spans="1:12" x14ac:dyDescent="0.25">
      <c r="A271" s="2">
        <v>1270</v>
      </c>
      <c r="B271" s="21" t="s">
        <v>43</v>
      </c>
      <c r="C271" s="2" t="s">
        <v>363</v>
      </c>
      <c r="D271" s="2" t="s">
        <v>376</v>
      </c>
      <c r="E271" s="2" t="s">
        <v>386</v>
      </c>
      <c r="F271" s="2" t="s">
        <v>391</v>
      </c>
      <c r="G271" s="2">
        <v>4</v>
      </c>
      <c r="H271" s="2">
        <v>7000</v>
      </c>
      <c r="I271" s="2">
        <v>0.15</v>
      </c>
      <c r="J271" s="3">
        <f t="shared" si="5"/>
        <v>23800</v>
      </c>
      <c r="K271" s="2" t="str">
        <f>TEXT(Table4[OrderDate], "mmmm")</f>
        <v>March</v>
      </c>
      <c r="L271" s="2">
        <f>IF(C271 = "", 0, IF(COUNTIF($C$2:C271, C271) = 1, 1, 0))</f>
        <v>0</v>
      </c>
    </row>
    <row r="272" spans="1:12" x14ac:dyDescent="0.25">
      <c r="A272" s="2">
        <v>1271</v>
      </c>
      <c r="B272" s="21" t="s">
        <v>203</v>
      </c>
      <c r="C272" s="2" t="s">
        <v>358</v>
      </c>
      <c r="D272" s="2" t="s">
        <v>379</v>
      </c>
      <c r="E272" s="2" t="s">
        <v>388</v>
      </c>
      <c r="F272" s="2" t="s">
        <v>389</v>
      </c>
      <c r="G272" s="2">
        <v>1</v>
      </c>
      <c r="H272" s="2">
        <v>12000</v>
      </c>
      <c r="I272" s="2">
        <v>0.1</v>
      </c>
      <c r="J272" s="3">
        <f t="shared" si="5"/>
        <v>10800</v>
      </c>
      <c r="K272" s="2" t="str">
        <f>TEXT(Table4[OrderDate], "mmmm")</f>
        <v>November</v>
      </c>
      <c r="L272" s="2">
        <f>IF(C272 = "", 0, IF(COUNTIF($C$2:C272, C272) = 1, 1, 0))</f>
        <v>0</v>
      </c>
    </row>
    <row r="273" spans="1:12" x14ac:dyDescent="0.25">
      <c r="A273" s="2">
        <v>1272</v>
      </c>
      <c r="B273" s="21" t="s">
        <v>60</v>
      </c>
      <c r="C273" s="2" t="s">
        <v>369</v>
      </c>
      <c r="D273" s="2" t="s">
        <v>374</v>
      </c>
      <c r="E273" s="2" t="s">
        <v>382</v>
      </c>
      <c r="F273" s="2" t="s">
        <v>389</v>
      </c>
      <c r="G273" s="2">
        <v>1</v>
      </c>
      <c r="H273" s="2">
        <v>50000</v>
      </c>
      <c r="I273" s="2">
        <v>0.15</v>
      </c>
      <c r="J273" s="3">
        <f t="shared" si="5"/>
        <v>42500</v>
      </c>
      <c r="K273" s="2" t="str">
        <f>TEXT(Table4[OrderDate], "mmmm")</f>
        <v>July</v>
      </c>
      <c r="L273" s="2">
        <f>IF(C273 = "", 0, IF(COUNTIF($C$2:C273, C273) = 1, 1, 0))</f>
        <v>0</v>
      </c>
    </row>
    <row r="274" spans="1:12" x14ac:dyDescent="0.25">
      <c r="A274" s="2">
        <v>1273</v>
      </c>
      <c r="B274" s="21" t="s">
        <v>143</v>
      </c>
      <c r="C274" s="2" t="s">
        <v>361</v>
      </c>
      <c r="D274" s="2" t="s">
        <v>377</v>
      </c>
      <c r="E274" s="2" t="s">
        <v>384</v>
      </c>
      <c r="F274" s="2" t="s">
        <v>389</v>
      </c>
      <c r="G274" s="2">
        <v>5</v>
      </c>
      <c r="H274" s="2">
        <v>30000</v>
      </c>
      <c r="I274" s="2">
        <v>0.15</v>
      </c>
      <c r="J274" s="3">
        <f t="shared" si="5"/>
        <v>127500</v>
      </c>
      <c r="K274" s="2" t="str">
        <f>TEXT(Table4[OrderDate], "mmmm")</f>
        <v>January</v>
      </c>
      <c r="L274" s="2">
        <f>IF(C274 = "", 0, IF(COUNTIF($C$2:C274, C274) = 1, 1, 0))</f>
        <v>0</v>
      </c>
    </row>
    <row r="275" spans="1:12" x14ac:dyDescent="0.25">
      <c r="A275" s="2">
        <v>1274</v>
      </c>
      <c r="B275" s="21" t="s">
        <v>126</v>
      </c>
      <c r="C275" s="2" t="s">
        <v>372</v>
      </c>
      <c r="D275" s="2" t="s">
        <v>373</v>
      </c>
      <c r="E275" s="2" t="s">
        <v>387</v>
      </c>
      <c r="F275" s="2" t="s">
        <v>391</v>
      </c>
      <c r="G275" s="2">
        <v>3</v>
      </c>
      <c r="H275" s="2">
        <v>3000</v>
      </c>
      <c r="I275" s="2">
        <v>0.1</v>
      </c>
      <c r="J275" s="3">
        <f t="shared" si="5"/>
        <v>8100</v>
      </c>
      <c r="K275" s="2" t="str">
        <f>TEXT(Table4[OrderDate], "mmmm")</f>
        <v>July</v>
      </c>
      <c r="L275" s="2">
        <f>IF(C275 = "", 0, IF(COUNTIF($C$2:C275, C275) = 1, 1, 0))</f>
        <v>0</v>
      </c>
    </row>
    <row r="276" spans="1:12" x14ac:dyDescent="0.25">
      <c r="A276" s="2">
        <v>1275</v>
      </c>
      <c r="B276" s="21" t="s">
        <v>204</v>
      </c>
      <c r="C276" s="2" t="s">
        <v>365</v>
      </c>
      <c r="D276" s="2" t="s">
        <v>373</v>
      </c>
      <c r="E276" s="2" t="s">
        <v>388</v>
      </c>
      <c r="F276" s="2" t="s">
        <v>389</v>
      </c>
      <c r="G276" s="2">
        <v>3</v>
      </c>
      <c r="H276" s="2">
        <v>12000</v>
      </c>
      <c r="I276" s="2">
        <v>0.1</v>
      </c>
      <c r="J276" s="3">
        <f t="shared" si="5"/>
        <v>32400</v>
      </c>
      <c r="K276" s="2" t="str">
        <f>TEXT(Table4[OrderDate], "mmmm")</f>
        <v>August</v>
      </c>
      <c r="L276" s="2">
        <f>IF(C276 = "", 0, IF(COUNTIF($C$2:C276, C276) = 1, 1, 0))</f>
        <v>0</v>
      </c>
    </row>
    <row r="277" spans="1:12" x14ac:dyDescent="0.25">
      <c r="A277" s="2">
        <v>1276</v>
      </c>
      <c r="B277" s="21" t="s">
        <v>149</v>
      </c>
      <c r="C277" s="2" t="s">
        <v>360</v>
      </c>
      <c r="D277" s="2" t="s">
        <v>375</v>
      </c>
      <c r="E277" s="2" t="s">
        <v>385</v>
      </c>
      <c r="F277" s="2" t="s">
        <v>390</v>
      </c>
      <c r="G277" s="2">
        <v>4</v>
      </c>
      <c r="H277" s="2">
        <v>2000</v>
      </c>
      <c r="I277" s="2">
        <v>0.1</v>
      </c>
      <c r="J277" s="3">
        <f t="shared" si="5"/>
        <v>7200</v>
      </c>
      <c r="K277" s="2" t="str">
        <f>TEXT(Table4[OrderDate], "mmmm")</f>
        <v>November</v>
      </c>
      <c r="L277" s="2">
        <f>IF(C277 = "", 0, IF(COUNTIF($C$2:C277, C277) = 1, 1, 0))</f>
        <v>0</v>
      </c>
    </row>
    <row r="278" spans="1:12" x14ac:dyDescent="0.25">
      <c r="A278" s="2">
        <v>1277</v>
      </c>
      <c r="B278" s="21" t="s">
        <v>205</v>
      </c>
      <c r="C278" s="2" t="s">
        <v>368</v>
      </c>
      <c r="D278" s="2" t="s">
        <v>377</v>
      </c>
      <c r="E278" s="2" t="s">
        <v>381</v>
      </c>
      <c r="F278" s="2" t="s">
        <v>389</v>
      </c>
      <c r="G278" s="2">
        <v>1</v>
      </c>
      <c r="H278" s="2">
        <v>20000</v>
      </c>
      <c r="I278" s="2">
        <v>0.05</v>
      </c>
      <c r="J278" s="3">
        <f t="shared" si="5"/>
        <v>19000</v>
      </c>
      <c r="K278" s="2" t="str">
        <f>TEXT(Table4[OrderDate], "mmmm")</f>
        <v>September</v>
      </c>
      <c r="L278" s="2">
        <f>IF(C278 = "", 0, IF(COUNTIF($C$2:C278, C278) = 1, 1, 0))</f>
        <v>0</v>
      </c>
    </row>
    <row r="279" spans="1:12" x14ac:dyDescent="0.25">
      <c r="A279" s="2">
        <v>1278</v>
      </c>
      <c r="B279" s="21" t="s">
        <v>206</v>
      </c>
      <c r="C279" s="2" t="s">
        <v>370</v>
      </c>
      <c r="D279" s="2" t="s">
        <v>380</v>
      </c>
      <c r="E279" s="2" t="s">
        <v>386</v>
      </c>
      <c r="F279" s="2" t="s">
        <v>391</v>
      </c>
      <c r="G279" s="2">
        <v>3</v>
      </c>
      <c r="H279" s="2">
        <v>7000</v>
      </c>
      <c r="I279" s="2">
        <v>0.15</v>
      </c>
      <c r="J279" s="3">
        <f t="shared" si="5"/>
        <v>17850</v>
      </c>
      <c r="K279" s="2" t="str">
        <f>TEXT(Table4[OrderDate], "mmmm")</f>
        <v>April</v>
      </c>
      <c r="L279" s="2">
        <f>IF(C279 = "", 0, IF(COUNTIF($C$2:C279, C279) = 1, 1, 0))</f>
        <v>0</v>
      </c>
    </row>
    <row r="280" spans="1:12" x14ac:dyDescent="0.25">
      <c r="A280" s="2">
        <v>1279</v>
      </c>
      <c r="B280" s="21" t="s">
        <v>207</v>
      </c>
      <c r="C280" s="2" t="s">
        <v>363</v>
      </c>
      <c r="D280" s="2" t="s">
        <v>373</v>
      </c>
      <c r="E280" s="2" t="s">
        <v>387</v>
      </c>
      <c r="F280" s="2" t="s">
        <v>391</v>
      </c>
      <c r="G280" s="2">
        <v>1</v>
      </c>
      <c r="H280" s="2">
        <v>3000</v>
      </c>
      <c r="I280" s="2">
        <v>0.05</v>
      </c>
      <c r="J280" s="3">
        <f t="shared" si="5"/>
        <v>2850</v>
      </c>
      <c r="K280" s="2" t="str">
        <f>TEXT(Table4[OrderDate], "mmmm")</f>
        <v>February</v>
      </c>
      <c r="L280" s="2">
        <f>IF(C280 = "", 0, IF(COUNTIF($C$2:C280, C280) = 1, 1, 0))</f>
        <v>0</v>
      </c>
    </row>
    <row r="281" spans="1:12" x14ac:dyDescent="0.25">
      <c r="A281" s="2">
        <v>1280</v>
      </c>
      <c r="B281" s="21" t="s">
        <v>71</v>
      </c>
      <c r="C281" s="2" t="s">
        <v>364</v>
      </c>
      <c r="D281" s="2" t="s">
        <v>377</v>
      </c>
      <c r="E281" s="2" t="s">
        <v>388</v>
      </c>
      <c r="F281" s="2" t="s">
        <v>389</v>
      </c>
      <c r="G281" s="2">
        <v>1</v>
      </c>
      <c r="H281" s="2">
        <v>12000</v>
      </c>
      <c r="I281" s="2">
        <v>0.1</v>
      </c>
      <c r="J281" s="3">
        <f t="shared" si="5"/>
        <v>10800</v>
      </c>
      <c r="K281" s="2" t="str">
        <f>TEXT(Table4[OrderDate], "mmmm")</f>
        <v>December</v>
      </c>
      <c r="L281" s="2">
        <f>IF(C281 = "", 0, IF(COUNTIF($C$2:C281, C281) = 1, 1, 0))</f>
        <v>0</v>
      </c>
    </row>
    <row r="282" spans="1:12" x14ac:dyDescent="0.25">
      <c r="A282" s="2">
        <v>1281</v>
      </c>
      <c r="B282" s="21" t="s">
        <v>160</v>
      </c>
      <c r="C282" s="2" t="s">
        <v>369</v>
      </c>
      <c r="D282" s="2" t="s">
        <v>376</v>
      </c>
      <c r="E282" s="2" t="s">
        <v>386</v>
      </c>
      <c r="F282" s="2" t="s">
        <v>391</v>
      </c>
      <c r="G282" s="2">
        <v>3</v>
      </c>
      <c r="H282" s="2">
        <v>7000</v>
      </c>
      <c r="I282" s="2">
        <v>0.05</v>
      </c>
      <c r="J282" s="3">
        <f t="shared" si="5"/>
        <v>19950</v>
      </c>
      <c r="K282" s="2" t="str">
        <f>TEXT(Table4[OrderDate], "mmmm")</f>
        <v>December</v>
      </c>
      <c r="L282" s="2">
        <f>IF(C282 = "", 0, IF(COUNTIF($C$2:C282, C282) = 1, 1, 0))</f>
        <v>0</v>
      </c>
    </row>
    <row r="283" spans="1:12" x14ac:dyDescent="0.25">
      <c r="A283" s="2">
        <v>1282</v>
      </c>
      <c r="B283" s="21" t="s">
        <v>25</v>
      </c>
      <c r="C283" s="2" t="s">
        <v>357</v>
      </c>
      <c r="D283" s="2" t="s">
        <v>380</v>
      </c>
      <c r="E283" s="2" t="s">
        <v>387</v>
      </c>
      <c r="F283" s="2" t="s">
        <v>391</v>
      </c>
      <c r="G283" s="2">
        <v>1</v>
      </c>
      <c r="H283" s="2">
        <v>3000</v>
      </c>
      <c r="I283" s="2">
        <v>0.05</v>
      </c>
      <c r="J283" s="3">
        <f t="shared" si="5"/>
        <v>2850</v>
      </c>
      <c r="K283" s="2" t="str">
        <f>TEXT(Table4[OrderDate], "mmmm")</f>
        <v>March</v>
      </c>
      <c r="L283" s="2">
        <f>IF(C283 = "", 0, IF(COUNTIF($C$2:C283, C283) = 1, 1, 0))</f>
        <v>0</v>
      </c>
    </row>
    <row r="284" spans="1:12" x14ac:dyDescent="0.25">
      <c r="A284" s="2">
        <v>1283</v>
      </c>
      <c r="B284" s="21" t="s">
        <v>208</v>
      </c>
      <c r="C284" s="2" t="s">
        <v>361</v>
      </c>
      <c r="D284" s="2" t="s">
        <v>377</v>
      </c>
      <c r="E284" s="2" t="s">
        <v>382</v>
      </c>
      <c r="F284" s="2" t="s">
        <v>389</v>
      </c>
      <c r="G284" s="2">
        <v>3</v>
      </c>
      <c r="H284" s="2">
        <v>50000</v>
      </c>
      <c r="I284" s="2">
        <v>0.1</v>
      </c>
      <c r="J284" s="3">
        <f t="shared" si="5"/>
        <v>135000</v>
      </c>
      <c r="K284" s="2" t="str">
        <f>TEXT(Table4[OrderDate], "mmmm")</f>
        <v>August</v>
      </c>
      <c r="L284" s="2">
        <f>IF(C284 = "", 0, IF(COUNTIF($C$2:C284, C284) = 1, 1, 0))</f>
        <v>0</v>
      </c>
    </row>
    <row r="285" spans="1:12" x14ac:dyDescent="0.25">
      <c r="A285" s="2">
        <v>1284</v>
      </c>
      <c r="B285" s="21" t="s">
        <v>209</v>
      </c>
      <c r="C285" s="2" t="s">
        <v>358</v>
      </c>
      <c r="D285" s="2" t="s">
        <v>378</v>
      </c>
      <c r="E285" s="2" t="s">
        <v>381</v>
      </c>
      <c r="F285" s="2" t="s">
        <v>389</v>
      </c>
      <c r="G285" s="2">
        <v>3</v>
      </c>
      <c r="H285" s="2">
        <v>20000</v>
      </c>
      <c r="I285" s="2">
        <v>0.15</v>
      </c>
      <c r="J285" s="3">
        <f t="shared" si="5"/>
        <v>51000</v>
      </c>
      <c r="K285" s="2" t="str">
        <f>TEXT(Table4[OrderDate], "mmmm")</f>
        <v>September</v>
      </c>
      <c r="L285" s="2">
        <f>IF(C285 = "", 0, IF(COUNTIF($C$2:C285, C285) = 1, 1, 0))</f>
        <v>0</v>
      </c>
    </row>
    <row r="286" spans="1:12" x14ac:dyDescent="0.25">
      <c r="A286" s="2">
        <v>1285</v>
      </c>
      <c r="B286" s="21" t="s">
        <v>154</v>
      </c>
      <c r="C286" s="2" t="s">
        <v>365</v>
      </c>
      <c r="D286" s="2" t="s">
        <v>380</v>
      </c>
      <c r="E286" s="2" t="s">
        <v>381</v>
      </c>
      <c r="F286" s="2" t="s">
        <v>389</v>
      </c>
      <c r="G286" s="2">
        <v>2</v>
      </c>
      <c r="H286" s="2">
        <v>20000</v>
      </c>
      <c r="I286" s="2">
        <v>0.1</v>
      </c>
      <c r="J286" s="3">
        <f t="shared" si="5"/>
        <v>36000</v>
      </c>
      <c r="K286" s="2" t="str">
        <f>TEXT(Table4[OrderDate], "mmmm")</f>
        <v>November</v>
      </c>
      <c r="L286" s="2">
        <f>IF(C286 = "", 0, IF(COUNTIF($C$2:C286, C286) = 1, 1, 0))</f>
        <v>0</v>
      </c>
    </row>
    <row r="287" spans="1:12" x14ac:dyDescent="0.25">
      <c r="A287" s="2">
        <v>1354</v>
      </c>
      <c r="B287" s="21" t="s">
        <v>241</v>
      </c>
      <c r="C287" s="2" t="s">
        <v>361</v>
      </c>
      <c r="D287" s="2" t="s">
        <v>375</v>
      </c>
      <c r="E287" s="2" t="s">
        <v>384</v>
      </c>
      <c r="F287" s="2" t="s">
        <v>389</v>
      </c>
      <c r="G287" s="2">
        <v>5</v>
      </c>
      <c r="H287" s="2">
        <v>30000</v>
      </c>
      <c r="I287" s="2">
        <v>0.15</v>
      </c>
      <c r="J287" s="3">
        <f t="shared" si="5"/>
        <v>127500</v>
      </c>
      <c r="K287" s="2" t="str">
        <f>TEXT(Table4[OrderDate], "mmmm")</f>
        <v>September</v>
      </c>
      <c r="L287" s="2">
        <f>IF(C287 = "", 0, IF(COUNTIF($C$2:C287, C287) = 1, 1, 0))</f>
        <v>0</v>
      </c>
    </row>
    <row r="288" spans="1:12" x14ac:dyDescent="0.25">
      <c r="A288" s="2">
        <v>1365</v>
      </c>
      <c r="B288" s="21" t="s">
        <v>195</v>
      </c>
      <c r="C288" s="2" t="s">
        <v>357</v>
      </c>
      <c r="D288" s="2" t="s">
        <v>379</v>
      </c>
      <c r="E288" s="2" t="s">
        <v>384</v>
      </c>
      <c r="F288" s="2" t="s">
        <v>389</v>
      </c>
      <c r="G288" s="2">
        <v>5</v>
      </c>
      <c r="H288" s="2">
        <v>30000</v>
      </c>
      <c r="I288" s="2">
        <v>0.15</v>
      </c>
      <c r="J288" s="3">
        <f t="shared" si="5"/>
        <v>127500</v>
      </c>
      <c r="K288" s="2" t="str">
        <f>TEXT(Table4[OrderDate], "mmmm")</f>
        <v>May</v>
      </c>
      <c r="L288" s="2">
        <f>IF(C288 = "", 0, IF(COUNTIF($C$2:C288, C288) = 1, 1, 0))</f>
        <v>0</v>
      </c>
    </row>
    <row r="289" spans="1:12" x14ac:dyDescent="0.25">
      <c r="A289" s="2">
        <v>1288</v>
      </c>
      <c r="B289" s="21" t="s">
        <v>212</v>
      </c>
      <c r="C289" s="2" t="s">
        <v>357</v>
      </c>
      <c r="D289" s="2" t="s">
        <v>376</v>
      </c>
      <c r="E289" s="2" t="s">
        <v>384</v>
      </c>
      <c r="F289" s="2" t="s">
        <v>389</v>
      </c>
      <c r="G289" s="2">
        <v>2</v>
      </c>
      <c r="H289" s="2">
        <v>30000</v>
      </c>
      <c r="I289" s="2">
        <v>0.1</v>
      </c>
      <c r="J289" s="3">
        <f t="shared" si="5"/>
        <v>54000</v>
      </c>
      <c r="K289" s="2" t="str">
        <f>TEXT(Table4[OrderDate], "mmmm")</f>
        <v>December</v>
      </c>
      <c r="L289" s="2">
        <f>IF(C289 = "", 0, IF(COUNTIF($C$2:C289, C289) = 1, 1, 0))</f>
        <v>0</v>
      </c>
    </row>
    <row r="290" spans="1:12" x14ac:dyDescent="0.25">
      <c r="A290" s="2">
        <v>1289</v>
      </c>
      <c r="B290" s="21" t="s">
        <v>213</v>
      </c>
      <c r="C290" s="2" t="s">
        <v>360</v>
      </c>
      <c r="D290" s="2" t="s">
        <v>373</v>
      </c>
      <c r="E290" s="2" t="s">
        <v>386</v>
      </c>
      <c r="F290" s="2" t="s">
        <v>391</v>
      </c>
      <c r="G290" s="2">
        <v>1</v>
      </c>
      <c r="H290" s="2">
        <v>7000</v>
      </c>
      <c r="I290" s="2">
        <v>0.1</v>
      </c>
      <c r="J290" s="3">
        <f t="shared" si="5"/>
        <v>6300</v>
      </c>
      <c r="K290" s="2" t="str">
        <f>TEXT(Table4[OrderDate], "mmmm")</f>
        <v>April</v>
      </c>
      <c r="L290" s="2">
        <f>IF(C290 = "", 0, IF(COUNTIF($C$2:C290, C290) = 1, 1, 0))</f>
        <v>0</v>
      </c>
    </row>
    <row r="291" spans="1:12" x14ac:dyDescent="0.25">
      <c r="A291" s="2">
        <v>1379</v>
      </c>
      <c r="B291" s="21" t="s">
        <v>107</v>
      </c>
      <c r="C291" s="2" t="s">
        <v>372</v>
      </c>
      <c r="D291" s="2" t="s">
        <v>374</v>
      </c>
      <c r="E291" s="2" t="s">
        <v>384</v>
      </c>
      <c r="F291" s="2" t="s">
        <v>389</v>
      </c>
      <c r="G291" s="2">
        <v>5</v>
      </c>
      <c r="H291" s="2">
        <v>30000</v>
      </c>
      <c r="I291" s="2">
        <v>0.15</v>
      </c>
      <c r="J291" s="3">
        <f t="shared" si="5"/>
        <v>127500</v>
      </c>
      <c r="K291" s="2" t="str">
        <f>TEXT(Table4[OrderDate], "mmmm")</f>
        <v>April</v>
      </c>
      <c r="L291" s="2">
        <f>IF(C291 = "", 0, IF(COUNTIF($C$2:C291, C291) = 1, 1, 0))</f>
        <v>0</v>
      </c>
    </row>
    <row r="292" spans="1:12" x14ac:dyDescent="0.25">
      <c r="A292" s="2">
        <v>1398</v>
      </c>
      <c r="B292" s="21" t="s">
        <v>33</v>
      </c>
      <c r="C292" s="2" t="s">
        <v>370</v>
      </c>
      <c r="D292" s="2" t="s">
        <v>375</v>
      </c>
      <c r="E292" s="2" t="s">
        <v>384</v>
      </c>
      <c r="F292" s="2" t="s">
        <v>389</v>
      </c>
      <c r="G292" s="2">
        <v>5</v>
      </c>
      <c r="H292" s="2">
        <v>30000</v>
      </c>
      <c r="I292" s="2">
        <v>0.15</v>
      </c>
      <c r="J292" s="3">
        <f t="shared" si="5"/>
        <v>127500</v>
      </c>
      <c r="K292" s="2" t="str">
        <f>TEXT(Table4[OrderDate], "mmmm")</f>
        <v>February</v>
      </c>
      <c r="L292" s="2">
        <f>IF(C292 = "", 0, IF(COUNTIF($C$2:C292, C292) = 1, 1, 0))</f>
        <v>0</v>
      </c>
    </row>
    <row r="293" spans="1:12" x14ac:dyDescent="0.25">
      <c r="A293" s="2">
        <v>1292</v>
      </c>
      <c r="B293" s="21" t="s">
        <v>214</v>
      </c>
      <c r="C293" s="2" t="s">
        <v>371</v>
      </c>
      <c r="D293" s="2" t="s">
        <v>378</v>
      </c>
      <c r="E293" s="2" t="s">
        <v>381</v>
      </c>
      <c r="F293" s="2" t="s">
        <v>389</v>
      </c>
      <c r="G293" s="2">
        <v>1</v>
      </c>
      <c r="H293" s="2">
        <v>20000</v>
      </c>
      <c r="I293" s="2">
        <v>0.1</v>
      </c>
      <c r="J293" s="3">
        <f t="shared" si="5"/>
        <v>18000</v>
      </c>
      <c r="K293" s="2" t="str">
        <f>TEXT(Table4[OrderDate], "mmmm")</f>
        <v>November</v>
      </c>
      <c r="L293" s="2">
        <f>IF(C293 = "", 0, IF(COUNTIF($C$2:C293, C293) = 1, 1, 0))</f>
        <v>0</v>
      </c>
    </row>
    <row r="294" spans="1:12" x14ac:dyDescent="0.25">
      <c r="A294" s="2">
        <v>1293</v>
      </c>
      <c r="B294" s="21" t="s">
        <v>154</v>
      </c>
      <c r="C294" s="2" t="s">
        <v>370</v>
      </c>
      <c r="D294" s="2" t="s">
        <v>380</v>
      </c>
      <c r="E294" s="2" t="s">
        <v>382</v>
      </c>
      <c r="F294" s="2" t="s">
        <v>389</v>
      </c>
      <c r="G294" s="2">
        <v>4</v>
      </c>
      <c r="H294" s="2">
        <v>50000</v>
      </c>
      <c r="I294" s="2">
        <v>0.1</v>
      </c>
      <c r="J294" s="3">
        <f t="shared" si="5"/>
        <v>180000</v>
      </c>
      <c r="K294" s="2" t="str">
        <f>TEXT(Table4[OrderDate], "mmmm")</f>
        <v>November</v>
      </c>
      <c r="L294" s="2">
        <f>IF(C294 = "", 0, IF(COUNTIF($C$2:C294, C294) = 1, 1, 0))</f>
        <v>0</v>
      </c>
    </row>
    <row r="295" spans="1:12" x14ac:dyDescent="0.25">
      <c r="A295" s="2">
        <v>1294</v>
      </c>
      <c r="B295" s="21" t="s">
        <v>19</v>
      </c>
      <c r="C295" s="2" t="s">
        <v>365</v>
      </c>
      <c r="D295" s="2" t="s">
        <v>374</v>
      </c>
      <c r="E295" s="2" t="s">
        <v>387</v>
      </c>
      <c r="F295" s="2" t="s">
        <v>391</v>
      </c>
      <c r="G295" s="2">
        <v>4</v>
      </c>
      <c r="H295" s="2">
        <v>3000</v>
      </c>
      <c r="I295" s="2">
        <v>0.1</v>
      </c>
      <c r="J295" s="3">
        <f t="shared" si="5"/>
        <v>10800</v>
      </c>
      <c r="K295" s="2" t="str">
        <f>TEXT(Table4[OrderDate], "mmmm")</f>
        <v>August</v>
      </c>
      <c r="L295" s="2">
        <f>IF(C295 = "", 0, IF(COUNTIF($C$2:C295, C295) = 1, 1, 0))</f>
        <v>0</v>
      </c>
    </row>
    <row r="296" spans="1:12" x14ac:dyDescent="0.25">
      <c r="A296" s="2">
        <v>1295</v>
      </c>
      <c r="B296" s="21" t="s">
        <v>215</v>
      </c>
      <c r="C296" s="2" t="s">
        <v>363</v>
      </c>
      <c r="D296" s="2" t="s">
        <v>375</v>
      </c>
      <c r="E296" s="2" t="s">
        <v>384</v>
      </c>
      <c r="F296" s="2" t="s">
        <v>389</v>
      </c>
      <c r="G296" s="2">
        <v>4</v>
      </c>
      <c r="H296" s="2">
        <v>30000</v>
      </c>
      <c r="I296" s="2">
        <v>0.15</v>
      </c>
      <c r="J296" s="3">
        <f t="shared" si="5"/>
        <v>102000</v>
      </c>
      <c r="K296" s="2" t="str">
        <f>TEXT(Table4[OrderDate], "mmmm")</f>
        <v>September</v>
      </c>
      <c r="L296" s="2">
        <f>IF(C296 = "", 0, IF(COUNTIF($C$2:C296, C296) = 1, 1, 0))</f>
        <v>0</v>
      </c>
    </row>
    <row r="297" spans="1:12" x14ac:dyDescent="0.25">
      <c r="A297" s="2">
        <v>1548</v>
      </c>
      <c r="B297" s="21" t="s">
        <v>52</v>
      </c>
      <c r="C297" s="2" t="s">
        <v>372</v>
      </c>
      <c r="D297" s="2" t="s">
        <v>377</v>
      </c>
      <c r="E297" s="2" t="s">
        <v>384</v>
      </c>
      <c r="F297" s="2" t="s">
        <v>389</v>
      </c>
      <c r="G297" s="2">
        <v>5</v>
      </c>
      <c r="H297" s="2">
        <v>30000</v>
      </c>
      <c r="I297" s="2">
        <v>0.15</v>
      </c>
      <c r="J297" s="3">
        <f t="shared" si="5"/>
        <v>127500</v>
      </c>
      <c r="K297" s="2" t="str">
        <f>TEXT(Table4[OrderDate], "mmmm")</f>
        <v>March</v>
      </c>
      <c r="L297" s="2">
        <f>IF(C297 = "", 0, IF(COUNTIF($C$2:C297, C297) = 1, 1, 0))</f>
        <v>0</v>
      </c>
    </row>
    <row r="298" spans="1:12" x14ac:dyDescent="0.25">
      <c r="A298" s="2">
        <v>1297</v>
      </c>
      <c r="B298" s="21" t="s">
        <v>217</v>
      </c>
      <c r="C298" s="2" t="s">
        <v>362</v>
      </c>
      <c r="D298" s="2" t="s">
        <v>376</v>
      </c>
      <c r="E298" s="2" t="s">
        <v>383</v>
      </c>
      <c r="F298" s="2" t="s">
        <v>390</v>
      </c>
      <c r="G298" s="2">
        <v>2</v>
      </c>
      <c r="H298" s="2">
        <v>1500</v>
      </c>
      <c r="I298" s="2">
        <v>0.1</v>
      </c>
      <c r="J298" s="3">
        <f t="shared" si="5"/>
        <v>2700</v>
      </c>
      <c r="K298" s="2" t="str">
        <f>TEXT(Table4[OrderDate], "mmmm")</f>
        <v>September</v>
      </c>
      <c r="L298" s="2">
        <f>IF(C298 = "", 0, IF(COUNTIF($C$2:C298, C298) = 1, 1, 0))</f>
        <v>0</v>
      </c>
    </row>
    <row r="299" spans="1:12" x14ac:dyDescent="0.25">
      <c r="A299" s="2">
        <v>1298</v>
      </c>
      <c r="B299" s="21" t="s">
        <v>63</v>
      </c>
      <c r="C299" s="2" t="s">
        <v>363</v>
      </c>
      <c r="D299" s="2" t="s">
        <v>375</v>
      </c>
      <c r="E299" s="2" t="s">
        <v>387</v>
      </c>
      <c r="F299" s="2" t="s">
        <v>391</v>
      </c>
      <c r="G299" s="2">
        <v>4</v>
      </c>
      <c r="H299" s="2">
        <v>3000</v>
      </c>
      <c r="I299" s="2">
        <v>0</v>
      </c>
      <c r="J299" s="3">
        <f t="shared" si="5"/>
        <v>12000</v>
      </c>
      <c r="K299" s="2" t="str">
        <f>TEXT(Table4[OrderDate], "mmmm")</f>
        <v>May</v>
      </c>
      <c r="L299" s="2">
        <f>IF(C299 = "", 0, IF(COUNTIF($C$2:C299, C299) = 1, 1, 0))</f>
        <v>0</v>
      </c>
    </row>
    <row r="300" spans="1:12" x14ac:dyDescent="0.25">
      <c r="A300" s="2">
        <v>1299</v>
      </c>
      <c r="B300" s="21" t="s">
        <v>18</v>
      </c>
      <c r="C300" s="2" t="s">
        <v>368</v>
      </c>
      <c r="D300" s="2" t="s">
        <v>378</v>
      </c>
      <c r="E300" s="2" t="s">
        <v>384</v>
      </c>
      <c r="F300" s="2" t="s">
        <v>389</v>
      </c>
      <c r="G300" s="2">
        <v>1</v>
      </c>
      <c r="H300" s="2">
        <v>30000</v>
      </c>
      <c r="I300" s="2">
        <v>0</v>
      </c>
      <c r="J300" s="3">
        <f t="shared" si="5"/>
        <v>30000</v>
      </c>
      <c r="K300" s="2" t="str">
        <f>TEXT(Table4[OrderDate], "mmmm")</f>
        <v>May</v>
      </c>
      <c r="L300" s="2">
        <f>IF(C300 = "", 0, IF(COUNTIF($C$2:C300, C300) = 1, 1, 0))</f>
        <v>0</v>
      </c>
    </row>
    <row r="301" spans="1:12" x14ac:dyDescent="0.25">
      <c r="A301" s="2">
        <v>1300</v>
      </c>
      <c r="B301" s="21" t="s">
        <v>218</v>
      </c>
      <c r="C301" s="2" t="s">
        <v>366</v>
      </c>
      <c r="D301" s="2" t="s">
        <v>375</v>
      </c>
      <c r="E301" s="2" t="s">
        <v>387</v>
      </c>
      <c r="F301" s="2" t="s">
        <v>391</v>
      </c>
      <c r="G301" s="2">
        <v>2</v>
      </c>
      <c r="H301" s="2">
        <v>3000</v>
      </c>
      <c r="I301" s="2">
        <v>0.1</v>
      </c>
      <c r="J301" s="3">
        <f t="shared" si="5"/>
        <v>5400</v>
      </c>
      <c r="K301" s="2" t="str">
        <f>TEXT(Table4[OrderDate], "mmmm")</f>
        <v>October</v>
      </c>
      <c r="L301" s="2">
        <f>IF(C301 = "", 0, IF(COUNTIF($C$2:C301, C301) = 1, 1, 0))</f>
        <v>0</v>
      </c>
    </row>
    <row r="302" spans="1:12" x14ac:dyDescent="0.25">
      <c r="A302" s="2">
        <v>1301</v>
      </c>
      <c r="B302" s="21" t="s">
        <v>205</v>
      </c>
      <c r="C302" s="2" t="s">
        <v>370</v>
      </c>
      <c r="D302" s="2" t="s">
        <v>380</v>
      </c>
      <c r="E302" s="2" t="s">
        <v>384</v>
      </c>
      <c r="F302" s="2" t="s">
        <v>389</v>
      </c>
      <c r="G302" s="2">
        <v>4</v>
      </c>
      <c r="H302" s="2">
        <v>30000</v>
      </c>
      <c r="I302" s="2">
        <v>0.15</v>
      </c>
      <c r="J302" s="3">
        <f t="shared" si="5"/>
        <v>102000</v>
      </c>
      <c r="K302" s="2" t="str">
        <f>TEXT(Table4[OrderDate], "mmmm")</f>
        <v>September</v>
      </c>
      <c r="L302" s="2">
        <f>IF(C302 = "", 0, IF(COUNTIF($C$2:C302, C302) = 1, 1, 0))</f>
        <v>0</v>
      </c>
    </row>
    <row r="303" spans="1:12" x14ac:dyDescent="0.25">
      <c r="A303" s="2">
        <v>1302</v>
      </c>
      <c r="B303" s="21" t="s">
        <v>219</v>
      </c>
      <c r="C303" s="2" t="s">
        <v>363</v>
      </c>
      <c r="D303" s="2" t="s">
        <v>375</v>
      </c>
      <c r="E303" s="2" t="s">
        <v>382</v>
      </c>
      <c r="F303" s="2" t="s">
        <v>389</v>
      </c>
      <c r="G303" s="2">
        <v>1</v>
      </c>
      <c r="H303" s="2">
        <v>50000</v>
      </c>
      <c r="I303" s="2">
        <v>0.15</v>
      </c>
      <c r="J303" s="3">
        <f t="shared" si="5"/>
        <v>42500</v>
      </c>
      <c r="K303" s="2" t="str">
        <f>TEXT(Table4[OrderDate], "mmmm")</f>
        <v>September</v>
      </c>
      <c r="L303" s="2">
        <f>IF(C303 = "", 0, IF(COUNTIF($C$2:C303, C303) = 1, 1, 0))</f>
        <v>0</v>
      </c>
    </row>
    <row r="304" spans="1:12" x14ac:dyDescent="0.25">
      <c r="A304" s="2">
        <v>1716</v>
      </c>
      <c r="B304" s="21" t="s">
        <v>173</v>
      </c>
      <c r="C304" s="2" t="s">
        <v>359</v>
      </c>
      <c r="D304" s="2" t="s">
        <v>379</v>
      </c>
      <c r="E304" s="2" t="s">
        <v>384</v>
      </c>
      <c r="F304" s="2" t="s">
        <v>389</v>
      </c>
      <c r="G304" s="2">
        <v>5</v>
      </c>
      <c r="H304" s="2">
        <v>30000</v>
      </c>
      <c r="I304" s="2">
        <v>0.15</v>
      </c>
      <c r="J304" s="3">
        <f t="shared" si="5"/>
        <v>127500</v>
      </c>
      <c r="K304" s="2" t="str">
        <f>TEXT(Table4[OrderDate], "mmmm")</f>
        <v>November</v>
      </c>
      <c r="L304" s="2">
        <f>IF(C304 = "", 0, IF(COUNTIF($C$2:C304, C304) = 1, 1, 0))</f>
        <v>0</v>
      </c>
    </row>
    <row r="305" spans="1:12" x14ac:dyDescent="0.25">
      <c r="A305" s="2">
        <v>1783</v>
      </c>
      <c r="B305" s="21" t="s">
        <v>308</v>
      </c>
      <c r="C305" s="2" t="s">
        <v>358</v>
      </c>
      <c r="D305" s="2" t="s">
        <v>379</v>
      </c>
      <c r="E305" s="2" t="s">
        <v>384</v>
      </c>
      <c r="F305" s="2" t="s">
        <v>389</v>
      </c>
      <c r="G305" s="2">
        <v>5</v>
      </c>
      <c r="H305" s="2">
        <v>30000</v>
      </c>
      <c r="I305" s="2">
        <v>0.15</v>
      </c>
      <c r="J305" s="3">
        <f t="shared" si="5"/>
        <v>127500</v>
      </c>
      <c r="K305" s="2" t="str">
        <f>TEXT(Table4[OrderDate], "mmmm")</f>
        <v>November</v>
      </c>
      <c r="L305" s="2">
        <f>IF(C305 = "", 0, IF(COUNTIF($C$2:C305, C305) = 1, 1, 0))</f>
        <v>0</v>
      </c>
    </row>
    <row r="306" spans="1:12" x14ac:dyDescent="0.25">
      <c r="A306" s="2">
        <v>1305</v>
      </c>
      <c r="B306" s="21" t="s">
        <v>221</v>
      </c>
      <c r="C306" s="2" t="s">
        <v>368</v>
      </c>
      <c r="D306" s="2" t="s">
        <v>376</v>
      </c>
      <c r="E306" s="2" t="s">
        <v>383</v>
      </c>
      <c r="F306" s="2" t="s">
        <v>390</v>
      </c>
      <c r="G306" s="2">
        <v>2</v>
      </c>
      <c r="H306" s="2">
        <v>1500</v>
      </c>
      <c r="I306" s="2">
        <v>0.1</v>
      </c>
      <c r="J306" s="3">
        <f t="shared" si="5"/>
        <v>2700</v>
      </c>
      <c r="K306" s="2" t="str">
        <f>TEXT(Table4[OrderDate], "mmmm")</f>
        <v>July</v>
      </c>
      <c r="L306" s="2">
        <f>IF(C306 = "", 0, IF(COUNTIF($C$2:C306, C306) = 1, 1, 0))</f>
        <v>0</v>
      </c>
    </row>
    <row r="307" spans="1:12" x14ac:dyDescent="0.25">
      <c r="A307" s="2">
        <v>1306</v>
      </c>
      <c r="B307" s="21" t="s">
        <v>48</v>
      </c>
      <c r="C307" s="2" t="s">
        <v>371</v>
      </c>
      <c r="D307" s="2" t="s">
        <v>376</v>
      </c>
      <c r="E307" s="2" t="s">
        <v>382</v>
      </c>
      <c r="F307" s="2" t="s">
        <v>389</v>
      </c>
      <c r="G307" s="2">
        <v>4</v>
      </c>
      <c r="H307" s="2">
        <v>50000</v>
      </c>
      <c r="I307" s="2">
        <v>0</v>
      </c>
      <c r="J307" s="3">
        <f t="shared" si="5"/>
        <v>200000</v>
      </c>
      <c r="K307" s="2" t="str">
        <f>TEXT(Table4[OrderDate], "mmmm")</f>
        <v>October</v>
      </c>
      <c r="L307" s="2">
        <f>IF(C307 = "", 0, IF(COUNTIF($C$2:C307, C307) = 1, 1, 0))</f>
        <v>0</v>
      </c>
    </row>
    <row r="308" spans="1:12" x14ac:dyDescent="0.25">
      <c r="A308" s="2">
        <v>1307</v>
      </c>
      <c r="B308" s="21" t="s">
        <v>219</v>
      </c>
      <c r="C308" s="2" t="s">
        <v>363</v>
      </c>
      <c r="D308" s="2" t="s">
        <v>379</v>
      </c>
      <c r="E308" s="2" t="s">
        <v>386</v>
      </c>
      <c r="F308" s="2" t="s">
        <v>391</v>
      </c>
      <c r="G308" s="2">
        <v>1</v>
      </c>
      <c r="H308" s="2">
        <v>7000</v>
      </c>
      <c r="I308" s="2">
        <v>0.15</v>
      </c>
      <c r="J308" s="3">
        <f t="shared" si="5"/>
        <v>5950</v>
      </c>
      <c r="K308" s="2" t="str">
        <f>TEXT(Table4[OrderDate], "mmmm")</f>
        <v>September</v>
      </c>
      <c r="L308" s="2">
        <f>IF(C308 = "", 0, IF(COUNTIF($C$2:C308, C308) = 1, 1, 0))</f>
        <v>0</v>
      </c>
    </row>
    <row r="309" spans="1:12" x14ac:dyDescent="0.25">
      <c r="A309" s="2">
        <v>1308</v>
      </c>
      <c r="B309" s="21" t="s">
        <v>90</v>
      </c>
      <c r="C309" s="2" t="s">
        <v>364</v>
      </c>
      <c r="D309" s="2" t="s">
        <v>376</v>
      </c>
      <c r="E309" s="2" t="s">
        <v>381</v>
      </c>
      <c r="F309" s="2" t="s">
        <v>389</v>
      </c>
      <c r="G309" s="2">
        <v>2</v>
      </c>
      <c r="H309" s="2">
        <v>20000</v>
      </c>
      <c r="I309" s="2">
        <v>0</v>
      </c>
      <c r="J309" s="3">
        <f t="shared" si="5"/>
        <v>40000</v>
      </c>
      <c r="K309" s="2" t="str">
        <f>TEXT(Table4[OrderDate], "mmmm")</f>
        <v>July</v>
      </c>
      <c r="L309" s="2">
        <f>IF(C309 = "", 0, IF(COUNTIF($C$2:C309, C309) = 1, 1, 0))</f>
        <v>0</v>
      </c>
    </row>
    <row r="310" spans="1:12" x14ac:dyDescent="0.25">
      <c r="A310" s="2">
        <v>1309</v>
      </c>
      <c r="B310" s="21" t="s">
        <v>222</v>
      </c>
      <c r="C310" s="2" t="s">
        <v>368</v>
      </c>
      <c r="D310" s="2" t="s">
        <v>374</v>
      </c>
      <c r="E310" s="2" t="s">
        <v>385</v>
      </c>
      <c r="F310" s="2" t="s">
        <v>390</v>
      </c>
      <c r="G310" s="2">
        <v>2</v>
      </c>
      <c r="H310" s="2">
        <v>2000</v>
      </c>
      <c r="I310" s="2">
        <v>0.05</v>
      </c>
      <c r="J310" s="3">
        <f t="shared" si="5"/>
        <v>3800</v>
      </c>
      <c r="K310" s="2" t="str">
        <f>TEXT(Table4[OrderDate], "mmmm")</f>
        <v>November</v>
      </c>
      <c r="L310" s="2">
        <f>IF(C310 = "", 0, IF(COUNTIF($C$2:C310, C310) = 1, 1, 0))</f>
        <v>0</v>
      </c>
    </row>
    <row r="311" spans="1:12" x14ac:dyDescent="0.25">
      <c r="A311" s="2">
        <v>1310</v>
      </c>
      <c r="B311" s="21" t="s">
        <v>120</v>
      </c>
      <c r="C311" s="2" t="s">
        <v>367</v>
      </c>
      <c r="D311" s="2" t="s">
        <v>380</v>
      </c>
      <c r="E311" s="2" t="s">
        <v>382</v>
      </c>
      <c r="F311" s="2" t="s">
        <v>389</v>
      </c>
      <c r="G311" s="2">
        <v>1</v>
      </c>
      <c r="H311" s="2">
        <v>50000</v>
      </c>
      <c r="I311" s="2">
        <v>0.05</v>
      </c>
      <c r="J311" s="3">
        <f t="shared" si="5"/>
        <v>47500</v>
      </c>
      <c r="K311" s="2" t="str">
        <f>TEXT(Table4[OrderDate], "mmmm")</f>
        <v>June</v>
      </c>
      <c r="L311" s="2">
        <f>IF(C311 = "", 0, IF(COUNTIF($C$2:C311, C311) = 1, 1, 0))</f>
        <v>0</v>
      </c>
    </row>
    <row r="312" spans="1:12" x14ac:dyDescent="0.25">
      <c r="A312" s="2">
        <v>1826</v>
      </c>
      <c r="B312" s="21" t="s">
        <v>256</v>
      </c>
      <c r="C312" s="2" t="s">
        <v>364</v>
      </c>
      <c r="D312" s="2" t="s">
        <v>380</v>
      </c>
      <c r="E312" s="2" t="s">
        <v>384</v>
      </c>
      <c r="F312" s="2" t="s">
        <v>389</v>
      </c>
      <c r="G312" s="2">
        <v>5</v>
      </c>
      <c r="H312" s="2">
        <v>30000</v>
      </c>
      <c r="I312" s="2">
        <v>0.15</v>
      </c>
      <c r="J312" s="3">
        <f t="shared" si="5"/>
        <v>127500</v>
      </c>
      <c r="K312" s="2" t="str">
        <f>TEXT(Table4[OrderDate], "mmmm")</f>
        <v>February</v>
      </c>
      <c r="L312" s="2">
        <f>IF(C312 = "", 0, IF(COUNTIF($C$2:C312, C312) = 1, 1, 0))</f>
        <v>0</v>
      </c>
    </row>
    <row r="313" spans="1:12" x14ac:dyDescent="0.25">
      <c r="A313" s="2">
        <v>1828</v>
      </c>
      <c r="B313" s="21" t="s">
        <v>103</v>
      </c>
      <c r="C313" s="2" t="s">
        <v>366</v>
      </c>
      <c r="D313" s="2" t="s">
        <v>376</v>
      </c>
      <c r="E313" s="2" t="s">
        <v>384</v>
      </c>
      <c r="F313" s="2" t="s">
        <v>389</v>
      </c>
      <c r="G313" s="2">
        <v>5</v>
      </c>
      <c r="H313" s="2">
        <v>30000</v>
      </c>
      <c r="I313" s="2">
        <v>0.15</v>
      </c>
      <c r="J313" s="3">
        <f t="shared" si="5"/>
        <v>127500</v>
      </c>
      <c r="K313" s="2" t="str">
        <f>TEXT(Table4[OrderDate], "mmmm")</f>
        <v>June</v>
      </c>
      <c r="L313" s="2">
        <f>IF(C313 = "", 0, IF(COUNTIF($C$2:C313, C313) = 1, 1, 0))</f>
        <v>0</v>
      </c>
    </row>
    <row r="314" spans="1:12" x14ac:dyDescent="0.25">
      <c r="A314" s="2">
        <v>1313</v>
      </c>
      <c r="B314" s="21" t="s">
        <v>191</v>
      </c>
      <c r="C314" s="2" t="s">
        <v>366</v>
      </c>
      <c r="D314" s="2" t="s">
        <v>377</v>
      </c>
      <c r="E314" s="2" t="s">
        <v>386</v>
      </c>
      <c r="F314" s="2" t="s">
        <v>391</v>
      </c>
      <c r="G314" s="2">
        <v>4</v>
      </c>
      <c r="H314" s="2">
        <v>7000</v>
      </c>
      <c r="I314" s="2">
        <v>0</v>
      </c>
      <c r="J314" s="3">
        <f t="shared" si="5"/>
        <v>28000</v>
      </c>
      <c r="K314" s="2" t="str">
        <f>TEXT(Table4[OrderDate], "mmmm")</f>
        <v>July</v>
      </c>
      <c r="L314" s="2">
        <f>IF(C314 = "", 0, IF(COUNTIF($C$2:C314, C314) = 1, 1, 0))</f>
        <v>0</v>
      </c>
    </row>
    <row r="315" spans="1:12" x14ac:dyDescent="0.25">
      <c r="A315" s="2">
        <v>1988</v>
      </c>
      <c r="B315" s="21" t="s">
        <v>251</v>
      </c>
      <c r="C315" s="2" t="s">
        <v>362</v>
      </c>
      <c r="D315" s="2" t="s">
        <v>380</v>
      </c>
      <c r="E315" s="2" t="s">
        <v>384</v>
      </c>
      <c r="F315" s="2" t="s">
        <v>389</v>
      </c>
      <c r="G315" s="2">
        <v>5</v>
      </c>
      <c r="H315" s="2">
        <v>30000</v>
      </c>
      <c r="I315" s="2">
        <v>0.15</v>
      </c>
      <c r="J315" s="3">
        <f t="shared" si="5"/>
        <v>127500</v>
      </c>
      <c r="K315" s="2" t="str">
        <f>TEXT(Table4[OrderDate], "mmmm")</f>
        <v>April</v>
      </c>
      <c r="L315" s="2">
        <f>IF(C315 = "", 0, IF(COUNTIF($C$2:C315, C315) = 1, 1, 0))</f>
        <v>0</v>
      </c>
    </row>
    <row r="316" spans="1:12" x14ac:dyDescent="0.25">
      <c r="A316" s="2">
        <v>1002</v>
      </c>
      <c r="B316" s="21" t="s">
        <v>11</v>
      </c>
      <c r="C316" s="2" t="s">
        <v>358</v>
      </c>
      <c r="D316" s="2" t="s">
        <v>374</v>
      </c>
      <c r="E316" s="2" t="s">
        <v>381</v>
      </c>
      <c r="F316" s="2" t="s">
        <v>389</v>
      </c>
      <c r="G316" s="2">
        <v>5</v>
      </c>
      <c r="H316" s="2">
        <v>20000</v>
      </c>
      <c r="I316" s="2">
        <v>0</v>
      </c>
      <c r="J316" s="3">
        <f t="shared" si="5"/>
        <v>100000</v>
      </c>
      <c r="K316" s="2" t="str">
        <f>TEXT(Table4[OrderDate], "mmmm")</f>
        <v>October</v>
      </c>
      <c r="L316" s="2">
        <f>IF(C316 = "", 0, IF(COUNTIF($C$2:C316, C316) = 1, 1, 0))</f>
        <v>0</v>
      </c>
    </row>
    <row r="317" spans="1:12" x14ac:dyDescent="0.25">
      <c r="A317" s="2">
        <v>1316</v>
      </c>
      <c r="B317" s="21" t="s">
        <v>224</v>
      </c>
      <c r="C317" s="2" t="s">
        <v>362</v>
      </c>
      <c r="D317" s="2" t="s">
        <v>375</v>
      </c>
      <c r="E317" s="2" t="s">
        <v>383</v>
      </c>
      <c r="F317" s="2" t="s">
        <v>390</v>
      </c>
      <c r="G317" s="2">
        <v>2</v>
      </c>
      <c r="H317" s="2">
        <v>1500</v>
      </c>
      <c r="I317" s="2">
        <v>0.05</v>
      </c>
      <c r="J317" s="3">
        <f t="shared" si="5"/>
        <v>2850</v>
      </c>
      <c r="K317" s="2" t="str">
        <f>TEXT(Table4[OrderDate], "mmmm")</f>
        <v>January</v>
      </c>
      <c r="L317" s="2">
        <f>IF(C317 = "", 0, IF(COUNTIF($C$2:C317, C317) = 1, 1, 0))</f>
        <v>0</v>
      </c>
    </row>
    <row r="318" spans="1:12" x14ac:dyDescent="0.25">
      <c r="A318" s="2">
        <v>1317</v>
      </c>
      <c r="B318" s="21" t="s">
        <v>225</v>
      </c>
      <c r="C318" s="2" t="s">
        <v>361</v>
      </c>
      <c r="D318" s="2" t="s">
        <v>378</v>
      </c>
      <c r="E318" s="2" t="s">
        <v>382</v>
      </c>
      <c r="F318" s="2" t="s">
        <v>389</v>
      </c>
      <c r="G318" s="2">
        <v>4</v>
      </c>
      <c r="H318" s="2">
        <v>50000</v>
      </c>
      <c r="I318" s="2">
        <v>0.1</v>
      </c>
      <c r="J318" s="3">
        <f t="shared" si="5"/>
        <v>180000</v>
      </c>
      <c r="K318" s="2" t="str">
        <f>TEXT(Table4[OrderDate], "mmmm")</f>
        <v>August</v>
      </c>
      <c r="L318" s="2">
        <f>IF(C318 = "", 0, IF(COUNTIF($C$2:C318, C318) = 1, 1, 0))</f>
        <v>0</v>
      </c>
    </row>
    <row r="319" spans="1:12" x14ac:dyDescent="0.25">
      <c r="A319" s="2">
        <v>1318</v>
      </c>
      <c r="B319" s="21" t="s">
        <v>159</v>
      </c>
      <c r="C319" s="2" t="s">
        <v>361</v>
      </c>
      <c r="D319" s="2" t="s">
        <v>375</v>
      </c>
      <c r="E319" s="2" t="s">
        <v>387</v>
      </c>
      <c r="F319" s="2" t="s">
        <v>391</v>
      </c>
      <c r="G319" s="2">
        <v>4</v>
      </c>
      <c r="H319" s="2">
        <v>3000</v>
      </c>
      <c r="I319" s="2">
        <v>0.15</v>
      </c>
      <c r="J319" s="3">
        <f t="shared" si="5"/>
        <v>10200</v>
      </c>
      <c r="K319" s="2" t="str">
        <f>TEXT(Table4[OrderDate], "mmmm")</f>
        <v>February</v>
      </c>
      <c r="L319" s="2">
        <f>IF(C319 = "", 0, IF(COUNTIF($C$2:C319, C319) = 1, 1, 0))</f>
        <v>0</v>
      </c>
    </row>
    <row r="320" spans="1:12" x14ac:dyDescent="0.25">
      <c r="A320" s="2">
        <v>1319</v>
      </c>
      <c r="B320" s="21" t="s">
        <v>216</v>
      </c>
      <c r="C320" s="2" t="s">
        <v>369</v>
      </c>
      <c r="D320" s="2" t="s">
        <v>380</v>
      </c>
      <c r="E320" s="2" t="s">
        <v>385</v>
      </c>
      <c r="F320" s="2" t="s">
        <v>390</v>
      </c>
      <c r="G320" s="2">
        <v>4</v>
      </c>
      <c r="H320" s="2">
        <v>2000</v>
      </c>
      <c r="I320" s="2">
        <v>0.15</v>
      </c>
      <c r="J320" s="3">
        <f t="shared" si="5"/>
        <v>6800</v>
      </c>
      <c r="K320" s="2" t="str">
        <f>TEXT(Table4[OrderDate], "mmmm")</f>
        <v>June</v>
      </c>
      <c r="L320" s="2">
        <f>IF(C320 = "", 0, IF(COUNTIF($C$2:C320, C320) = 1, 1, 0))</f>
        <v>0</v>
      </c>
    </row>
    <row r="321" spans="1:12" x14ac:dyDescent="0.25">
      <c r="A321" s="2">
        <v>1390</v>
      </c>
      <c r="B321" s="21" t="s">
        <v>37</v>
      </c>
      <c r="C321" s="2" t="s">
        <v>371</v>
      </c>
      <c r="D321" s="2" t="s">
        <v>380</v>
      </c>
      <c r="E321" s="2" t="s">
        <v>381</v>
      </c>
      <c r="F321" s="2" t="s">
        <v>389</v>
      </c>
      <c r="G321" s="2">
        <v>5</v>
      </c>
      <c r="H321" s="2">
        <v>20000</v>
      </c>
      <c r="I321" s="2">
        <v>0</v>
      </c>
      <c r="J321" s="3">
        <f t="shared" si="5"/>
        <v>100000</v>
      </c>
      <c r="K321" s="2" t="str">
        <f>TEXT(Table4[OrderDate], "mmmm")</f>
        <v>April</v>
      </c>
      <c r="L321" s="2">
        <f>IF(C321 = "", 0, IF(COUNTIF($C$2:C321, C321) = 1, 1, 0))</f>
        <v>0</v>
      </c>
    </row>
    <row r="322" spans="1:12" x14ac:dyDescent="0.25">
      <c r="A322" s="2">
        <v>1321</v>
      </c>
      <c r="B322" s="21" t="s">
        <v>186</v>
      </c>
      <c r="C322" s="2" t="s">
        <v>370</v>
      </c>
      <c r="D322" s="2" t="s">
        <v>375</v>
      </c>
      <c r="E322" s="2" t="s">
        <v>387</v>
      </c>
      <c r="F322" s="2" t="s">
        <v>391</v>
      </c>
      <c r="G322" s="2">
        <v>2</v>
      </c>
      <c r="H322" s="2">
        <v>3000</v>
      </c>
      <c r="I322" s="2">
        <v>0.1</v>
      </c>
      <c r="J322" s="3">
        <f t="shared" ref="J322:J385" si="6">H322*(1-I322)*G322</f>
        <v>5400</v>
      </c>
      <c r="K322" s="2" t="str">
        <f>TEXT(Table4[OrderDate], "mmmm")</f>
        <v>October</v>
      </c>
      <c r="L322" s="2">
        <f>IF(C322 = "", 0, IF(COUNTIF($C$2:C322, C322) = 1, 1, 0))</f>
        <v>0</v>
      </c>
    </row>
    <row r="323" spans="1:12" x14ac:dyDescent="0.25">
      <c r="A323" s="2">
        <v>1322</v>
      </c>
      <c r="B323" s="21" t="s">
        <v>152</v>
      </c>
      <c r="C323" s="2" t="s">
        <v>367</v>
      </c>
      <c r="D323" s="2" t="s">
        <v>376</v>
      </c>
      <c r="E323" s="2" t="s">
        <v>386</v>
      </c>
      <c r="F323" s="2" t="s">
        <v>391</v>
      </c>
      <c r="G323" s="2">
        <v>3</v>
      </c>
      <c r="H323" s="2">
        <v>7000</v>
      </c>
      <c r="I323" s="2">
        <v>0.05</v>
      </c>
      <c r="J323" s="3">
        <f t="shared" si="6"/>
        <v>19950</v>
      </c>
      <c r="K323" s="2" t="str">
        <f>TEXT(Table4[OrderDate], "mmmm")</f>
        <v>December</v>
      </c>
      <c r="L323" s="2">
        <f>IF(C323 = "", 0, IF(COUNTIF($C$2:C323, C323) = 1, 1, 0))</f>
        <v>0</v>
      </c>
    </row>
    <row r="324" spans="1:12" x14ac:dyDescent="0.25">
      <c r="A324" s="2">
        <v>1323</v>
      </c>
      <c r="B324" s="21" t="s">
        <v>226</v>
      </c>
      <c r="C324" s="2" t="s">
        <v>362</v>
      </c>
      <c r="D324" s="2" t="s">
        <v>378</v>
      </c>
      <c r="E324" s="2" t="s">
        <v>388</v>
      </c>
      <c r="F324" s="2" t="s">
        <v>389</v>
      </c>
      <c r="G324" s="2">
        <v>3</v>
      </c>
      <c r="H324" s="2">
        <v>12000</v>
      </c>
      <c r="I324" s="2">
        <v>0.1</v>
      </c>
      <c r="J324" s="3">
        <f t="shared" si="6"/>
        <v>32400</v>
      </c>
      <c r="K324" s="2" t="str">
        <f>TEXT(Table4[OrderDate], "mmmm")</f>
        <v>May</v>
      </c>
      <c r="L324" s="2">
        <f>IF(C324 = "", 0, IF(COUNTIF($C$2:C324, C324) = 1, 1, 0))</f>
        <v>0</v>
      </c>
    </row>
    <row r="325" spans="1:12" x14ac:dyDescent="0.25">
      <c r="A325" s="2">
        <v>1324</v>
      </c>
      <c r="B325" s="21" t="s">
        <v>18</v>
      </c>
      <c r="C325" s="2" t="s">
        <v>372</v>
      </c>
      <c r="D325" s="2" t="s">
        <v>379</v>
      </c>
      <c r="E325" s="2" t="s">
        <v>383</v>
      </c>
      <c r="F325" s="2" t="s">
        <v>390</v>
      </c>
      <c r="G325" s="2">
        <v>3</v>
      </c>
      <c r="H325" s="2">
        <v>1500</v>
      </c>
      <c r="I325" s="2">
        <v>0.05</v>
      </c>
      <c r="J325" s="3">
        <f t="shared" si="6"/>
        <v>4275</v>
      </c>
      <c r="K325" s="2" t="str">
        <f>TEXT(Table4[OrderDate], "mmmm")</f>
        <v>May</v>
      </c>
      <c r="L325" s="2">
        <f>IF(C325 = "", 0, IF(COUNTIF($C$2:C325, C325) = 1, 1, 0))</f>
        <v>0</v>
      </c>
    </row>
    <row r="326" spans="1:12" x14ac:dyDescent="0.25">
      <c r="A326" s="2">
        <v>1325</v>
      </c>
      <c r="B326" s="21" t="s">
        <v>227</v>
      </c>
      <c r="C326" s="2" t="s">
        <v>360</v>
      </c>
      <c r="D326" s="2" t="s">
        <v>380</v>
      </c>
      <c r="E326" s="2" t="s">
        <v>381</v>
      </c>
      <c r="F326" s="2" t="s">
        <v>389</v>
      </c>
      <c r="G326" s="2">
        <v>3</v>
      </c>
      <c r="H326" s="2">
        <v>20000</v>
      </c>
      <c r="I326" s="2">
        <v>0.15</v>
      </c>
      <c r="J326" s="3">
        <f t="shared" si="6"/>
        <v>51000</v>
      </c>
      <c r="K326" s="2" t="str">
        <f>TEXT(Table4[OrderDate], "mmmm")</f>
        <v>December</v>
      </c>
      <c r="L326" s="2">
        <f>IF(C326 = "", 0, IF(COUNTIF($C$2:C326, C326) = 1, 1, 0))</f>
        <v>0</v>
      </c>
    </row>
    <row r="327" spans="1:12" x14ac:dyDescent="0.25">
      <c r="A327" s="2">
        <v>1326</v>
      </c>
      <c r="B327" s="21" t="s">
        <v>58</v>
      </c>
      <c r="C327" s="2" t="s">
        <v>360</v>
      </c>
      <c r="D327" s="2" t="s">
        <v>373</v>
      </c>
      <c r="E327" s="2" t="s">
        <v>387</v>
      </c>
      <c r="F327" s="2" t="s">
        <v>391</v>
      </c>
      <c r="G327" s="2">
        <v>2</v>
      </c>
      <c r="H327" s="2">
        <v>3000</v>
      </c>
      <c r="I327" s="2">
        <v>0.1</v>
      </c>
      <c r="J327" s="3">
        <f t="shared" si="6"/>
        <v>5400</v>
      </c>
      <c r="K327" s="2" t="str">
        <f>TEXT(Table4[OrderDate], "mmmm")</f>
        <v>October</v>
      </c>
      <c r="L327" s="2">
        <f>IF(C327 = "", 0, IF(COUNTIF($C$2:C327, C327) = 1, 1, 0))</f>
        <v>0</v>
      </c>
    </row>
    <row r="328" spans="1:12" x14ac:dyDescent="0.25">
      <c r="A328" s="2">
        <v>1445</v>
      </c>
      <c r="B328" s="21" t="s">
        <v>258</v>
      </c>
      <c r="C328" s="2" t="s">
        <v>364</v>
      </c>
      <c r="D328" s="2" t="s">
        <v>374</v>
      </c>
      <c r="E328" s="2" t="s">
        <v>381</v>
      </c>
      <c r="F328" s="2" t="s">
        <v>389</v>
      </c>
      <c r="G328" s="2">
        <v>5</v>
      </c>
      <c r="H328" s="2">
        <v>20000</v>
      </c>
      <c r="I328" s="2">
        <v>0</v>
      </c>
      <c r="J328" s="3">
        <f t="shared" si="6"/>
        <v>100000</v>
      </c>
      <c r="K328" s="2" t="str">
        <f>TEXT(Table4[OrderDate], "mmmm")</f>
        <v>May</v>
      </c>
      <c r="L328" s="2">
        <f>IF(C328 = "", 0, IF(COUNTIF($C$2:C328, C328) = 1, 1, 0))</f>
        <v>0</v>
      </c>
    </row>
    <row r="329" spans="1:12" x14ac:dyDescent="0.25">
      <c r="A329" s="2">
        <v>1328</v>
      </c>
      <c r="B329" s="21" t="s">
        <v>62</v>
      </c>
      <c r="C329" s="2" t="s">
        <v>366</v>
      </c>
      <c r="D329" s="2" t="s">
        <v>380</v>
      </c>
      <c r="E329" s="2" t="s">
        <v>387</v>
      </c>
      <c r="F329" s="2" t="s">
        <v>391</v>
      </c>
      <c r="G329" s="2">
        <v>1</v>
      </c>
      <c r="H329" s="2">
        <v>3000</v>
      </c>
      <c r="I329" s="2">
        <v>0</v>
      </c>
      <c r="J329" s="3">
        <f t="shared" si="6"/>
        <v>3000</v>
      </c>
      <c r="K329" s="2" t="str">
        <f>TEXT(Table4[OrderDate], "mmmm")</f>
        <v>July</v>
      </c>
      <c r="L329" s="2">
        <f>IF(C329 = "", 0, IF(COUNTIF($C$2:C329, C329) = 1, 1, 0))</f>
        <v>0</v>
      </c>
    </row>
    <row r="330" spans="1:12" x14ac:dyDescent="0.25">
      <c r="A330" s="2">
        <v>1329</v>
      </c>
      <c r="B330" s="21" t="s">
        <v>34</v>
      </c>
      <c r="C330" s="2" t="s">
        <v>369</v>
      </c>
      <c r="D330" s="2" t="s">
        <v>378</v>
      </c>
      <c r="E330" s="2" t="s">
        <v>381</v>
      </c>
      <c r="F330" s="2" t="s">
        <v>389</v>
      </c>
      <c r="G330" s="2">
        <v>2</v>
      </c>
      <c r="H330" s="2">
        <v>20000</v>
      </c>
      <c r="I330" s="2">
        <v>0</v>
      </c>
      <c r="J330" s="3">
        <f t="shared" si="6"/>
        <v>40000</v>
      </c>
      <c r="K330" s="2" t="str">
        <f>TEXT(Table4[OrderDate], "mmmm")</f>
        <v>October</v>
      </c>
      <c r="L330" s="2">
        <f>IF(C330 = "", 0, IF(COUNTIF($C$2:C330, C330) = 1, 1, 0))</f>
        <v>0</v>
      </c>
    </row>
    <row r="331" spans="1:12" x14ac:dyDescent="0.25">
      <c r="A331" s="2">
        <v>1330</v>
      </c>
      <c r="B331" s="21" t="s">
        <v>226</v>
      </c>
      <c r="C331" s="2" t="s">
        <v>366</v>
      </c>
      <c r="D331" s="2" t="s">
        <v>379</v>
      </c>
      <c r="E331" s="2" t="s">
        <v>388</v>
      </c>
      <c r="F331" s="2" t="s">
        <v>389</v>
      </c>
      <c r="G331" s="2">
        <v>4</v>
      </c>
      <c r="H331" s="2">
        <v>12000</v>
      </c>
      <c r="I331" s="2">
        <v>0.05</v>
      </c>
      <c r="J331" s="3">
        <f t="shared" si="6"/>
        <v>45600</v>
      </c>
      <c r="K331" s="2" t="str">
        <f>TEXT(Table4[OrderDate], "mmmm")</f>
        <v>May</v>
      </c>
      <c r="L331" s="2">
        <f>IF(C331 = "", 0, IF(COUNTIF($C$2:C331, C331) = 1, 1, 0))</f>
        <v>0</v>
      </c>
    </row>
    <row r="332" spans="1:12" x14ac:dyDescent="0.25">
      <c r="A332" s="2">
        <v>1331</v>
      </c>
      <c r="B332" s="21" t="s">
        <v>228</v>
      </c>
      <c r="C332" s="2" t="s">
        <v>372</v>
      </c>
      <c r="D332" s="2" t="s">
        <v>373</v>
      </c>
      <c r="E332" s="2" t="s">
        <v>382</v>
      </c>
      <c r="F332" s="2" t="s">
        <v>389</v>
      </c>
      <c r="G332" s="2">
        <v>1</v>
      </c>
      <c r="H332" s="2">
        <v>50000</v>
      </c>
      <c r="I332" s="2">
        <v>0.05</v>
      </c>
      <c r="J332" s="3">
        <f t="shared" si="6"/>
        <v>47500</v>
      </c>
      <c r="K332" s="2" t="str">
        <f>TEXT(Table4[OrderDate], "mmmm")</f>
        <v>September</v>
      </c>
      <c r="L332" s="2">
        <f>IF(C332 = "", 0, IF(COUNTIF($C$2:C332, C332) = 1, 1, 0))</f>
        <v>0</v>
      </c>
    </row>
    <row r="333" spans="1:12" x14ac:dyDescent="0.25">
      <c r="A333" s="2">
        <v>1332</v>
      </c>
      <c r="B333" s="21" t="s">
        <v>229</v>
      </c>
      <c r="C333" s="2" t="s">
        <v>367</v>
      </c>
      <c r="D333" s="2" t="s">
        <v>373</v>
      </c>
      <c r="E333" s="2" t="s">
        <v>383</v>
      </c>
      <c r="F333" s="2" t="s">
        <v>390</v>
      </c>
      <c r="G333" s="2">
        <v>2</v>
      </c>
      <c r="H333" s="2">
        <v>1500</v>
      </c>
      <c r="I333" s="2">
        <v>0</v>
      </c>
      <c r="J333" s="3">
        <f t="shared" si="6"/>
        <v>3000</v>
      </c>
      <c r="K333" s="2" t="str">
        <f>TEXT(Table4[OrderDate], "mmmm")</f>
        <v>July</v>
      </c>
      <c r="L333" s="2">
        <f>IF(C333 = "", 0, IF(COUNTIF($C$2:C333, C333) = 1, 1, 0))</f>
        <v>0</v>
      </c>
    </row>
    <row r="334" spans="1:12" x14ac:dyDescent="0.25">
      <c r="A334" s="2">
        <v>1333</v>
      </c>
      <c r="B334" s="21" t="s">
        <v>87</v>
      </c>
      <c r="C334" s="2" t="s">
        <v>362</v>
      </c>
      <c r="D334" s="2" t="s">
        <v>376</v>
      </c>
      <c r="E334" s="2" t="s">
        <v>386</v>
      </c>
      <c r="F334" s="2" t="s">
        <v>391</v>
      </c>
      <c r="G334" s="2">
        <v>1</v>
      </c>
      <c r="H334" s="2">
        <v>7000</v>
      </c>
      <c r="I334" s="2">
        <v>0</v>
      </c>
      <c r="J334" s="3">
        <f t="shared" si="6"/>
        <v>7000</v>
      </c>
      <c r="K334" s="2" t="str">
        <f>TEXT(Table4[OrderDate], "mmmm")</f>
        <v>June</v>
      </c>
      <c r="L334" s="2">
        <f>IF(C334 = "", 0, IF(COUNTIF($C$2:C334, C334) = 1, 1, 0))</f>
        <v>0</v>
      </c>
    </row>
    <row r="335" spans="1:12" x14ac:dyDescent="0.25">
      <c r="A335" s="2">
        <v>1334</v>
      </c>
      <c r="B335" s="21" t="s">
        <v>79</v>
      </c>
      <c r="C335" s="2" t="s">
        <v>363</v>
      </c>
      <c r="D335" s="2" t="s">
        <v>379</v>
      </c>
      <c r="E335" s="2" t="s">
        <v>386</v>
      </c>
      <c r="F335" s="2" t="s">
        <v>391</v>
      </c>
      <c r="G335" s="2">
        <v>4</v>
      </c>
      <c r="H335" s="2">
        <v>7000</v>
      </c>
      <c r="I335" s="2">
        <v>0.15</v>
      </c>
      <c r="J335" s="3">
        <f t="shared" si="6"/>
        <v>23800</v>
      </c>
      <c r="K335" s="2" t="str">
        <f>TEXT(Table4[OrderDate], "mmmm")</f>
        <v>March</v>
      </c>
      <c r="L335" s="2">
        <f>IF(C335 = "", 0, IF(COUNTIF($C$2:C335, C335) = 1, 1, 0))</f>
        <v>0</v>
      </c>
    </row>
    <row r="336" spans="1:12" x14ac:dyDescent="0.25">
      <c r="A336" s="2">
        <v>1335</v>
      </c>
      <c r="B336" s="21" t="s">
        <v>21</v>
      </c>
      <c r="C336" s="2" t="s">
        <v>363</v>
      </c>
      <c r="D336" s="2" t="s">
        <v>379</v>
      </c>
      <c r="E336" s="2" t="s">
        <v>387</v>
      </c>
      <c r="F336" s="2" t="s">
        <v>391</v>
      </c>
      <c r="G336" s="2">
        <v>1</v>
      </c>
      <c r="H336" s="2">
        <v>3000</v>
      </c>
      <c r="I336" s="2">
        <v>0.1</v>
      </c>
      <c r="J336" s="3">
        <f t="shared" si="6"/>
        <v>2700</v>
      </c>
      <c r="K336" s="2" t="str">
        <f>TEXT(Table4[OrderDate], "mmmm")</f>
        <v>March</v>
      </c>
      <c r="L336" s="2">
        <f>IF(C336 = "", 0, IF(COUNTIF($C$2:C336, C336) = 1, 1, 0))</f>
        <v>0</v>
      </c>
    </row>
    <row r="337" spans="1:12" x14ac:dyDescent="0.25">
      <c r="A337" s="2">
        <v>1336</v>
      </c>
      <c r="B337" s="21" t="s">
        <v>45</v>
      </c>
      <c r="C337" s="2" t="s">
        <v>371</v>
      </c>
      <c r="D337" s="2" t="s">
        <v>373</v>
      </c>
      <c r="E337" s="2" t="s">
        <v>384</v>
      </c>
      <c r="F337" s="2" t="s">
        <v>389</v>
      </c>
      <c r="G337" s="2">
        <v>1</v>
      </c>
      <c r="H337" s="2">
        <v>30000</v>
      </c>
      <c r="I337" s="2">
        <v>0.1</v>
      </c>
      <c r="J337" s="3">
        <f t="shared" si="6"/>
        <v>27000</v>
      </c>
      <c r="K337" s="2" t="str">
        <f>TEXT(Table4[OrderDate], "mmmm")</f>
        <v>May</v>
      </c>
      <c r="L337" s="2">
        <f>IF(C337 = "", 0, IF(COUNTIF($C$2:C337, C337) = 1, 1, 0))</f>
        <v>0</v>
      </c>
    </row>
    <row r="338" spans="1:12" x14ac:dyDescent="0.25">
      <c r="A338" s="2">
        <v>1337</v>
      </c>
      <c r="B338" s="21" t="s">
        <v>230</v>
      </c>
      <c r="C338" s="2" t="s">
        <v>368</v>
      </c>
      <c r="D338" s="2" t="s">
        <v>377</v>
      </c>
      <c r="E338" s="2" t="s">
        <v>383</v>
      </c>
      <c r="F338" s="2" t="s">
        <v>390</v>
      </c>
      <c r="G338" s="2">
        <v>4</v>
      </c>
      <c r="H338" s="2">
        <v>1500</v>
      </c>
      <c r="I338" s="2">
        <v>0.1</v>
      </c>
      <c r="J338" s="3">
        <f t="shared" si="6"/>
        <v>5400</v>
      </c>
      <c r="K338" s="2" t="str">
        <f>TEXT(Table4[OrderDate], "mmmm")</f>
        <v>February</v>
      </c>
      <c r="L338" s="2">
        <f>IF(C338 = "", 0, IF(COUNTIF($C$2:C338, C338) = 1, 1, 0))</f>
        <v>0</v>
      </c>
    </row>
    <row r="339" spans="1:12" x14ac:dyDescent="0.25">
      <c r="A339" s="2">
        <v>1338</v>
      </c>
      <c r="B339" s="21" t="s">
        <v>231</v>
      </c>
      <c r="C339" s="2" t="s">
        <v>357</v>
      </c>
      <c r="D339" s="2" t="s">
        <v>374</v>
      </c>
      <c r="E339" s="2" t="s">
        <v>384</v>
      </c>
      <c r="F339" s="2" t="s">
        <v>389</v>
      </c>
      <c r="G339" s="2">
        <v>2</v>
      </c>
      <c r="H339" s="2">
        <v>30000</v>
      </c>
      <c r="I339" s="2">
        <v>0.15</v>
      </c>
      <c r="J339" s="3">
        <f t="shared" si="6"/>
        <v>51000</v>
      </c>
      <c r="K339" s="2" t="str">
        <f>TEXT(Table4[OrderDate], "mmmm")</f>
        <v>June</v>
      </c>
      <c r="L339" s="2">
        <f>IF(C339 = "", 0, IF(COUNTIF($C$2:C339, C339) = 1, 1, 0))</f>
        <v>0</v>
      </c>
    </row>
    <row r="340" spans="1:12" x14ac:dyDescent="0.25">
      <c r="A340" s="2">
        <v>1339</v>
      </c>
      <c r="B340" s="21" t="s">
        <v>232</v>
      </c>
      <c r="C340" s="2" t="s">
        <v>360</v>
      </c>
      <c r="D340" s="2" t="s">
        <v>376</v>
      </c>
      <c r="E340" s="2" t="s">
        <v>386</v>
      </c>
      <c r="F340" s="2" t="s">
        <v>391</v>
      </c>
      <c r="G340" s="2">
        <v>4</v>
      </c>
      <c r="H340" s="2">
        <v>7000</v>
      </c>
      <c r="I340" s="2">
        <v>0.05</v>
      </c>
      <c r="J340" s="3">
        <f t="shared" si="6"/>
        <v>26600</v>
      </c>
      <c r="K340" s="2" t="str">
        <f>TEXT(Table4[OrderDate], "mmmm")</f>
        <v>August</v>
      </c>
      <c r="L340" s="2">
        <f>IF(C340 = "", 0, IF(COUNTIF($C$2:C340, C340) = 1, 1, 0))</f>
        <v>0</v>
      </c>
    </row>
    <row r="341" spans="1:12" x14ac:dyDescent="0.25">
      <c r="A341" s="2">
        <v>1503</v>
      </c>
      <c r="B341" s="21" t="s">
        <v>30</v>
      </c>
      <c r="C341" s="2" t="s">
        <v>361</v>
      </c>
      <c r="D341" s="2" t="s">
        <v>375</v>
      </c>
      <c r="E341" s="2" t="s">
        <v>381</v>
      </c>
      <c r="F341" s="2" t="s">
        <v>389</v>
      </c>
      <c r="G341" s="2">
        <v>5</v>
      </c>
      <c r="H341" s="2">
        <v>20000</v>
      </c>
      <c r="I341" s="2">
        <v>0</v>
      </c>
      <c r="J341" s="3">
        <f t="shared" si="6"/>
        <v>100000</v>
      </c>
      <c r="K341" s="2" t="str">
        <f>TEXT(Table4[OrderDate], "mmmm")</f>
        <v>August</v>
      </c>
      <c r="L341" s="2">
        <f>IF(C341 = "", 0, IF(COUNTIF($C$2:C341, C341) = 1, 1, 0))</f>
        <v>0</v>
      </c>
    </row>
    <row r="342" spans="1:12" x14ac:dyDescent="0.25">
      <c r="A342" s="2">
        <v>1341</v>
      </c>
      <c r="B342" s="21" t="s">
        <v>233</v>
      </c>
      <c r="C342" s="2" t="s">
        <v>369</v>
      </c>
      <c r="D342" s="2" t="s">
        <v>378</v>
      </c>
      <c r="E342" s="2" t="s">
        <v>382</v>
      </c>
      <c r="F342" s="2" t="s">
        <v>389</v>
      </c>
      <c r="G342" s="2">
        <v>1</v>
      </c>
      <c r="H342" s="2">
        <v>50000</v>
      </c>
      <c r="I342" s="2">
        <v>0.15</v>
      </c>
      <c r="J342" s="3">
        <f t="shared" si="6"/>
        <v>42500</v>
      </c>
      <c r="K342" s="2" t="str">
        <f>TEXT(Table4[OrderDate], "mmmm")</f>
        <v>June</v>
      </c>
      <c r="L342" s="2">
        <f>IF(C342 = "", 0, IF(COUNTIF($C$2:C342, C342) = 1, 1, 0))</f>
        <v>0</v>
      </c>
    </row>
    <row r="343" spans="1:12" x14ac:dyDescent="0.25">
      <c r="A343" s="2">
        <v>1342</v>
      </c>
      <c r="B343" s="21" t="s">
        <v>191</v>
      </c>
      <c r="C343" s="2" t="s">
        <v>357</v>
      </c>
      <c r="D343" s="2" t="s">
        <v>375</v>
      </c>
      <c r="E343" s="2" t="s">
        <v>386</v>
      </c>
      <c r="F343" s="2" t="s">
        <v>391</v>
      </c>
      <c r="G343" s="2">
        <v>1</v>
      </c>
      <c r="H343" s="2">
        <v>7000</v>
      </c>
      <c r="I343" s="2">
        <v>0.1</v>
      </c>
      <c r="J343" s="3">
        <f t="shared" si="6"/>
        <v>6300</v>
      </c>
      <c r="K343" s="2" t="str">
        <f>TEXT(Table4[OrderDate], "mmmm")</f>
        <v>July</v>
      </c>
      <c r="L343" s="2">
        <f>IF(C343 = "", 0, IF(COUNTIF($C$2:C343, C343) = 1, 1, 0))</f>
        <v>0</v>
      </c>
    </row>
    <row r="344" spans="1:12" x14ac:dyDescent="0.25">
      <c r="A344" s="2">
        <v>1343</v>
      </c>
      <c r="B344" s="21" t="s">
        <v>19</v>
      </c>
      <c r="C344" s="2" t="s">
        <v>364</v>
      </c>
      <c r="D344" s="2" t="s">
        <v>378</v>
      </c>
      <c r="E344" s="2" t="s">
        <v>384</v>
      </c>
      <c r="F344" s="2" t="s">
        <v>389</v>
      </c>
      <c r="G344" s="2">
        <v>4</v>
      </c>
      <c r="H344" s="2">
        <v>30000</v>
      </c>
      <c r="I344" s="2">
        <v>0.05</v>
      </c>
      <c r="J344" s="3">
        <f t="shared" si="6"/>
        <v>114000</v>
      </c>
      <c r="K344" s="2" t="str">
        <f>TEXT(Table4[OrderDate], "mmmm")</f>
        <v>August</v>
      </c>
      <c r="L344" s="2">
        <f>IF(C344 = "", 0, IF(COUNTIF($C$2:C344, C344) = 1, 1, 0))</f>
        <v>0</v>
      </c>
    </row>
    <row r="345" spans="1:12" x14ac:dyDescent="0.25">
      <c r="A345" s="2">
        <v>1620</v>
      </c>
      <c r="B345" s="21" t="s">
        <v>104</v>
      </c>
      <c r="C345" s="2" t="s">
        <v>360</v>
      </c>
      <c r="D345" s="2" t="s">
        <v>375</v>
      </c>
      <c r="E345" s="2" t="s">
        <v>381</v>
      </c>
      <c r="F345" s="2" t="s">
        <v>389</v>
      </c>
      <c r="G345" s="2">
        <v>5</v>
      </c>
      <c r="H345" s="2">
        <v>20000</v>
      </c>
      <c r="I345" s="2">
        <v>0</v>
      </c>
      <c r="J345" s="3">
        <f t="shared" si="6"/>
        <v>100000</v>
      </c>
      <c r="K345" s="2" t="str">
        <f>TEXT(Table4[OrderDate], "mmmm")</f>
        <v>February</v>
      </c>
      <c r="L345" s="2">
        <f>IF(C345 = "", 0, IF(COUNTIF($C$2:C345, C345) = 1, 1, 0))</f>
        <v>0</v>
      </c>
    </row>
    <row r="346" spans="1:12" x14ac:dyDescent="0.25">
      <c r="A346" s="2">
        <v>1345</v>
      </c>
      <c r="B346" s="21" t="s">
        <v>159</v>
      </c>
      <c r="C346" s="2" t="s">
        <v>371</v>
      </c>
      <c r="D346" s="2" t="s">
        <v>373</v>
      </c>
      <c r="E346" s="2" t="s">
        <v>385</v>
      </c>
      <c r="F346" s="2" t="s">
        <v>390</v>
      </c>
      <c r="G346" s="2">
        <v>1</v>
      </c>
      <c r="H346" s="2">
        <v>2000</v>
      </c>
      <c r="I346" s="2">
        <v>0</v>
      </c>
      <c r="J346" s="3">
        <f t="shared" si="6"/>
        <v>2000</v>
      </c>
      <c r="K346" s="2" t="str">
        <f>TEXT(Table4[OrderDate], "mmmm")</f>
        <v>February</v>
      </c>
      <c r="L346" s="2">
        <f>IF(C346 = "", 0, IF(COUNTIF($C$2:C346, C346) = 1, 1, 0))</f>
        <v>0</v>
      </c>
    </row>
    <row r="347" spans="1:12" x14ac:dyDescent="0.25">
      <c r="A347" s="2">
        <v>1346</v>
      </c>
      <c r="B347" s="21" t="s">
        <v>234</v>
      </c>
      <c r="C347" s="2" t="s">
        <v>371</v>
      </c>
      <c r="D347" s="2" t="s">
        <v>380</v>
      </c>
      <c r="E347" s="2" t="s">
        <v>384</v>
      </c>
      <c r="F347" s="2" t="s">
        <v>389</v>
      </c>
      <c r="G347" s="2">
        <v>3</v>
      </c>
      <c r="H347" s="2">
        <v>30000</v>
      </c>
      <c r="I347" s="2">
        <v>0.15</v>
      </c>
      <c r="J347" s="3">
        <f t="shared" si="6"/>
        <v>76500</v>
      </c>
      <c r="K347" s="2" t="str">
        <f>TEXT(Table4[OrderDate], "mmmm")</f>
        <v>February</v>
      </c>
      <c r="L347" s="2">
        <f>IF(C347 = "", 0, IF(COUNTIF($C$2:C347, C347) = 1, 1, 0))</f>
        <v>0</v>
      </c>
    </row>
    <row r="348" spans="1:12" x14ac:dyDescent="0.25">
      <c r="A348" s="2">
        <v>1681</v>
      </c>
      <c r="B348" s="21" t="s">
        <v>238</v>
      </c>
      <c r="C348" s="2" t="s">
        <v>365</v>
      </c>
      <c r="D348" s="2" t="s">
        <v>376</v>
      </c>
      <c r="E348" s="2" t="s">
        <v>381</v>
      </c>
      <c r="F348" s="2" t="s">
        <v>389</v>
      </c>
      <c r="G348" s="2">
        <v>5</v>
      </c>
      <c r="H348" s="2">
        <v>20000</v>
      </c>
      <c r="I348" s="2">
        <v>0</v>
      </c>
      <c r="J348" s="3">
        <f t="shared" si="6"/>
        <v>100000</v>
      </c>
      <c r="K348" s="2" t="str">
        <f>TEXT(Table4[OrderDate], "mmmm")</f>
        <v>December</v>
      </c>
      <c r="L348" s="2">
        <f>IF(C348 = "", 0, IF(COUNTIF($C$2:C348, C348) = 1, 1, 0))</f>
        <v>0</v>
      </c>
    </row>
    <row r="349" spans="1:12" x14ac:dyDescent="0.25">
      <c r="A349" s="2">
        <v>1348</v>
      </c>
      <c r="B349" s="21" t="s">
        <v>236</v>
      </c>
      <c r="C349" s="2" t="s">
        <v>363</v>
      </c>
      <c r="D349" s="2" t="s">
        <v>379</v>
      </c>
      <c r="E349" s="2" t="s">
        <v>383</v>
      </c>
      <c r="F349" s="2" t="s">
        <v>390</v>
      </c>
      <c r="G349" s="2">
        <v>4</v>
      </c>
      <c r="H349" s="2">
        <v>1500</v>
      </c>
      <c r="I349" s="2">
        <v>0</v>
      </c>
      <c r="J349" s="3">
        <f t="shared" si="6"/>
        <v>6000</v>
      </c>
      <c r="K349" s="2" t="str">
        <f>TEXT(Table4[OrderDate], "mmmm")</f>
        <v>October</v>
      </c>
      <c r="L349" s="2">
        <f>IF(C349 = "", 0, IF(COUNTIF($C$2:C349, C349) = 1, 1, 0))</f>
        <v>0</v>
      </c>
    </row>
    <row r="350" spans="1:12" x14ac:dyDescent="0.25">
      <c r="A350" s="2">
        <v>1349</v>
      </c>
      <c r="B350" s="21" t="s">
        <v>237</v>
      </c>
      <c r="C350" s="2" t="s">
        <v>371</v>
      </c>
      <c r="D350" s="2" t="s">
        <v>377</v>
      </c>
      <c r="E350" s="2" t="s">
        <v>382</v>
      </c>
      <c r="F350" s="2" t="s">
        <v>389</v>
      </c>
      <c r="G350" s="2">
        <v>4</v>
      </c>
      <c r="H350" s="2">
        <v>50000</v>
      </c>
      <c r="I350" s="2">
        <v>0.1</v>
      </c>
      <c r="J350" s="3">
        <f t="shared" si="6"/>
        <v>180000</v>
      </c>
      <c r="K350" s="2" t="str">
        <f>TEXT(Table4[OrderDate], "mmmm")</f>
        <v>January</v>
      </c>
      <c r="L350" s="2">
        <f>IF(C350 = "", 0, IF(COUNTIF($C$2:C350, C350) = 1, 1, 0))</f>
        <v>0</v>
      </c>
    </row>
    <row r="351" spans="1:12" x14ac:dyDescent="0.25">
      <c r="A351" s="2">
        <v>1350</v>
      </c>
      <c r="B351" s="21" t="s">
        <v>238</v>
      </c>
      <c r="C351" s="2" t="s">
        <v>365</v>
      </c>
      <c r="D351" s="2" t="s">
        <v>374</v>
      </c>
      <c r="E351" s="2" t="s">
        <v>382</v>
      </c>
      <c r="F351" s="2" t="s">
        <v>389</v>
      </c>
      <c r="G351" s="2">
        <v>4</v>
      </c>
      <c r="H351" s="2">
        <v>50000</v>
      </c>
      <c r="I351" s="2">
        <v>0.1</v>
      </c>
      <c r="J351" s="3">
        <f t="shared" si="6"/>
        <v>180000</v>
      </c>
      <c r="K351" s="2" t="str">
        <f>TEXT(Table4[OrderDate], "mmmm")</f>
        <v>December</v>
      </c>
      <c r="L351" s="2">
        <f>IF(C351 = "", 0, IF(COUNTIF($C$2:C351, C351) = 1, 1, 0))</f>
        <v>0</v>
      </c>
    </row>
    <row r="352" spans="1:12" x14ac:dyDescent="0.25">
      <c r="A352" s="2">
        <v>1351</v>
      </c>
      <c r="B352" s="21" t="s">
        <v>184</v>
      </c>
      <c r="C352" s="2" t="s">
        <v>358</v>
      </c>
      <c r="D352" s="2" t="s">
        <v>373</v>
      </c>
      <c r="E352" s="2" t="s">
        <v>381</v>
      </c>
      <c r="F352" s="2" t="s">
        <v>389</v>
      </c>
      <c r="G352" s="2">
        <v>4</v>
      </c>
      <c r="H352" s="2">
        <v>20000</v>
      </c>
      <c r="I352" s="2">
        <v>0</v>
      </c>
      <c r="J352" s="3">
        <f t="shared" si="6"/>
        <v>80000</v>
      </c>
      <c r="K352" s="2" t="str">
        <f>TEXT(Table4[OrderDate], "mmmm")</f>
        <v>May</v>
      </c>
      <c r="L352" s="2">
        <f>IF(C352 = "", 0, IF(COUNTIF($C$2:C352, C352) = 1, 1, 0))</f>
        <v>0</v>
      </c>
    </row>
    <row r="353" spans="1:12" x14ac:dyDescent="0.25">
      <c r="A353" s="2">
        <v>1352</v>
      </c>
      <c r="B353" s="21" t="s">
        <v>239</v>
      </c>
      <c r="C353" s="2" t="s">
        <v>363</v>
      </c>
      <c r="D353" s="2" t="s">
        <v>378</v>
      </c>
      <c r="E353" s="2" t="s">
        <v>384</v>
      </c>
      <c r="F353" s="2" t="s">
        <v>389</v>
      </c>
      <c r="G353" s="2">
        <v>4</v>
      </c>
      <c r="H353" s="2">
        <v>30000</v>
      </c>
      <c r="I353" s="2">
        <v>0.1</v>
      </c>
      <c r="J353" s="3">
        <f t="shared" si="6"/>
        <v>108000</v>
      </c>
      <c r="K353" s="2" t="str">
        <f>TEXT(Table4[OrderDate], "mmmm")</f>
        <v>July</v>
      </c>
      <c r="L353" s="2">
        <f>IF(C353 = "", 0, IF(COUNTIF($C$2:C353, C353) = 1, 1, 0))</f>
        <v>0</v>
      </c>
    </row>
    <row r="354" spans="1:12" x14ac:dyDescent="0.25">
      <c r="A354" s="2">
        <v>1353</v>
      </c>
      <c r="B354" s="21" t="s">
        <v>240</v>
      </c>
      <c r="C354" s="2" t="s">
        <v>364</v>
      </c>
      <c r="D354" s="2" t="s">
        <v>377</v>
      </c>
      <c r="E354" s="2" t="s">
        <v>383</v>
      </c>
      <c r="F354" s="2" t="s">
        <v>390</v>
      </c>
      <c r="G354" s="2">
        <v>1</v>
      </c>
      <c r="H354" s="2">
        <v>1500</v>
      </c>
      <c r="I354" s="2">
        <v>0.05</v>
      </c>
      <c r="J354" s="3">
        <f t="shared" si="6"/>
        <v>1425</v>
      </c>
      <c r="K354" s="2" t="str">
        <f>TEXT(Table4[OrderDate], "mmmm")</f>
        <v>November</v>
      </c>
      <c r="L354" s="2">
        <f>IF(C354 = "", 0, IF(COUNTIF($C$2:C354, C354) = 1, 1, 0))</f>
        <v>0</v>
      </c>
    </row>
    <row r="355" spans="1:12" x14ac:dyDescent="0.25">
      <c r="A355" s="2">
        <v>1818</v>
      </c>
      <c r="B355" s="21" t="s">
        <v>16</v>
      </c>
      <c r="C355" s="2" t="s">
        <v>361</v>
      </c>
      <c r="D355" s="2" t="s">
        <v>373</v>
      </c>
      <c r="E355" s="2" t="s">
        <v>381</v>
      </c>
      <c r="F355" s="2" t="s">
        <v>389</v>
      </c>
      <c r="G355" s="2">
        <v>5</v>
      </c>
      <c r="H355" s="2">
        <v>20000</v>
      </c>
      <c r="I355" s="2">
        <v>0</v>
      </c>
      <c r="J355" s="3">
        <f t="shared" si="6"/>
        <v>100000</v>
      </c>
      <c r="K355" s="2" t="str">
        <f>TEXT(Table4[OrderDate], "mmmm")</f>
        <v>January</v>
      </c>
      <c r="L355" s="2">
        <f>IF(C355 = "", 0, IF(COUNTIF($C$2:C355, C355) = 1, 1, 0))</f>
        <v>0</v>
      </c>
    </row>
    <row r="356" spans="1:12" x14ac:dyDescent="0.25">
      <c r="A356" s="2">
        <v>1355</v>
      </c>
      <c r="B356" s="21" t="s">
        <v>242</v>
      </c>
      <c r="C356" s="2" t="s">
        <v>358</v>
      </c>
      <c r="D356" s="2" t="s">
        <v>378</v>
      </c>
      <c r="E356" s="2" t="s">
        <v>382</v>
      </c>
      <c r="F356" s="2" t="s">
        <v>389</v>
      </c>
      <c r="G356" s="2">
        <v>1</v>
      </c>
      <c r="H356" s="2">
        <v>50000</v>
      </c>
      <c r="I356" s="2">
        <v>0.1</v>
      </c>
      <c r="J356" s="3">
        <f t="shared" si="6"/>
        <v>45000</v>
      </c>
      <c r="K356" s="2" t="str">
        <f>TEXT(Table4[OrderDate], "mmmm")</f>
        <v>August</v>
      </c>
      <c r="L356" s="2">
        <f>IF(C356 = "", 0, IF(COUNTIF($C$2:C356, C356) = 1, 1, 0))</f>
        <v>0</v>
      </c>
    </row>
    <row r="357" spans="1:12" x14ac:dyDescent="0.25">
      <c r="A357" s="2">
        <v>1356</v>
      </c>
      <c r="B357" s="21" t="s">
        <v>243</v>
      </c>
      <c r="C357" s="2" t="s">
        <v>361</v>
      </c>
      <c r="D357" s="2" t="s">
        <v>379</v>
      </c>
      <c r="E357" s="2" t="s">
        <v>387</v>
      </c>
      <c r="F357" s="2" t="s">
        <v>391</v>
      </c>
      <c r="G357" s="2">
        <v>2</v>
      </c>
      <c r="H357" s="2">
        <v>3000</v>
      </c>
      <c r="I357" s="2">
        <v>0.15</v>
      </c>
      <c r="J357" s="3">
        <f t="shared" si="6"/>
        <v>5100</v>
      </c>
      <c r="K357" s="2" t="str">
        <f>TEXT(Table4[OrderDate], "mmmm")</f>
        <v>June</v>
      </c>
      <c r="L357" s="2">
        <f>IF(C357 = "", 0, IF(COUNTIF($C$2:C357, C357) = 1, 1, 0))</f>
        <v>0</v>
      </c>
    </row>
    <row r="358" spans="1:12" x14ac:dyDescent="0.25">
      <c r="A358" s="2">
        <v>1357</v>
      </c>
      <c r="B358" s="21" t="s">
        <v>95</v>
      </c>
      <c r="C358" s="2" t="s">
        <v>358</v>
      </c>
      <c r="D358" s="2" t="s">
        <v>374</v>
      </c>
      <c r="E358" s="2" t="s">
        <v>387</v>
      </c>
      <c r="F358" s="2" t="s">
        <v>391</v>
      </c>
      <c r="G358" s="2">
        <v>1</v>
      </c>
      <c r="H358" s="2">
        <v>3000</v>
      </c>
      <c r="I358" s="2">
        <v>0</v>
      </c>
      <c r="J358" s="3">
        <f t="shared" si="6"/>
        <v>3000</v>
      </c>
      <c r="K358" s="2" t="str">
        <f>TEXT(Table4[OrderDate], "mmmm")</f>
        <v>December</v>
      </c>
      <c r="L358" s="2">
        <f>IF(C358 = "", 0, IF(COUNTIF($C$2:C358, C358) = 1, 1, 0))</f>
        <v>0</v>
      </c>
    </row>
    <row r="359" spans="1:12" x14ac:dyDescent="0.25">
      <c r="A359" s="2">
        <v>1358</v>
      </c>
      <c r="B359" s="21" t="s">
        <v>104</v>
      </c>
      <c r="C359" s="2" t="s">
        <v>372</v>
      </c>
      <c r="D359" s="2" t="s">
        <v>380</v>
      </c>
      <c r="E359" s="2" t="s">
        <v>387</v>
      </c>
      <c r="F359" s="2" t="s">
        <v>391</v>
      </c>
      <c r="G359" s="2">
        <v>2</v>
      </c>
      <c r="H359" s="2">
        <v>3000</v>
      </c>
      <c r="I359" s="2">
        <v>0</v>
      </c>
      <c r="J359" s="3">
        <f t="shared" si="6"/>
        <v>6000</v>
      </c>
      <c r="K359" s="2" t="str">
        <f>TEXT(Table4[OrderDate], "mmmm")</f>
        <v>February</v>
      </c>
      <c r="L359" s="2">
        <f>IF(C359 = "", 0, IF(COUNTIF($C$2:C359, C359) = 1, 1, 0))</f>
        <v>0</v>
      </c>
    </row>
    <row r="360" spans="1:12" x14ac:dyDescent="0.25">
      <c r="A360" s="2">
        <v>1359</v>
      </c>
      <c r="B360" s="21" t="s">
        <v>23</v>
      </c>
      <c r="C360" s="2" t="s">
        <v>363</v>
      </c>
      <c r="D360" s="2" t="s">
        <v>375</v>
      </c>
      <c r="E360" s="2" t="s">
        <v>382</v>
      </c>
      <c r="F360" s="2" t="s">
        <v>389</v>
      </c>
      <c r="G360" s="2">
        <v>2</v>
      </c>
      <c r="H360" s="2">
        <v>50000</v>
      </c>
      <c r="I360" s="2">
        <v>0</v>
      </c>
      <c r="J360" s="3">
        <f t="shared" si="6"/>
        <v>100000</v>
      </c>
      <c r="K360" s="2" t="str">
        <f>TEXT(Table4[OrderDate], "mmmm")</f>
        <v>July</v>
      </c>
      <c r="L360" s="2">
        <f>IF(C360 = "", 0, IF(COUNTIF($C$2:C360, C360) = 1, 1, 0))</f>
        <v>0</v>
      </c>
    </row>
    <row r="361" spans="1:12" x14ac:dyDescent="0.25">
      <c r="A361" s="2">
        <v>1360</v>
      </c>
      <c r="B361" s="21" t="s">
        <v>193</v>
      </c>
      <c r="C361" s="2" t="s">
        <v>370</v>
      </c>
      <c r="D361" s="2" t="s">
        <v>375</v>
      </c>
      <c r="E361" s="2" t="s">
        <v>387</v>
      </c>
      <c r="F361" s="2" t="s">
        <v>391</v>
      </c>
      <c r="G361" s="2">
        <v>1</v>
      </c>
      <c r="H361" s="2">
        <v>3000</v>
      </c>
      <c r="I361" s="2">
        <v>0.05</v>
      </c>
      <c r="J361" s="3">
        <f t="shared" si="6"/>
        <v>2850</v>
      </c>
      <c r="K361" s="2" t="str">
        <f>TEXT(Table4[OrderDate], "mmmm")</f>
        <v>September</v>
      </c>
      <c r="L361" s="2">
        <f>IF(C361 = "", 0, IF(COUNTIF($C$2:C361, C361) = 1, 1, 0))</f>
        <v>0</v>
      </c>
    </row>
    <row r="362" spans="1:12" x14ac:dyDescent="0.25">
      <c r="A362" s="2">
        <v>1894</v>
      </c>
      <c r="B362" s="21" t="s">
        <v>10</v>
      </c>
      <c r="C362" s="2" t="s">
        <v>360</v>
      </c>
      <c r="D362" s="2" t="s">
        <v>375</v>
      </c>
      <c r="E362" s="2" t="s">
        <v>381</v>
      </c>
      <c r="F362" s="2" t="s">
        <v>389</v>
      </c>
      <c r="G362" s="2">
        <v>5</v>
      </c>
      <c r="H362" s="2">
        <v>20000</v>
      </c>
      <c r="I362" s="2">
        <v>0</v>
      </c>
      <c r="J362" s="3">
        <f t="shared" si="6"/>
        <v>100000</v>
      </c>
      <c r="K362" s="2" t="str">
        <f>TEXT(Table4[OrderDate], "mmmm")</f>
        <v>May</v>
      </c>
      <c r="L362" s="2">
        <f>IF(C362 = "", 0, IF(COUNTIF($C$2:C362, C362) = 1, 1, 0))</f>
        <v>0</v>
      </c>
    </row>
    <row r="363" spans="1:12" x14ac:dyDescent="0.25">
      <c r="A363" s="2">
        <v>1362</v>
      </c>
      <c r="B363" s="21" t="s">
        <v>141</v>
      </c>
      <c r="C363" s="2" t="s">
        <v>372</v>
      </c>
      <c r="D363" s="2" t="s">
        <v>373</v>
      </c>
      <c r="E363" s="2" t="s">
        <v>387</v>
      </c>
      <c r="F363" s="2" t="s">
        <v>391</v>
      </c>
      <c r="G363" s="2">
        <v>4</v>
      </c>
      <c r="H363" s="2">
        <v>3000</v>
      </c>
      <c r="I363" s="2">
        <v>0.1</v>
      </c>
      <c r="J363" s="3">
        <f t="shared" si="6"/>
        <v>10800</v>
      </c>
      <c r="K363" s="2" t="str">
        <f>TEXT(Table4[OrderDate], "mmmm")</f>
        <v>May</v>
      </c>
      <c r="L363" s="2">
        <f>IF(C363 = "", 0, IF(COUNTIF($C$2:C363, C363) = 1, 1, 0))</f>
        <v>0</v>
      </c>
    </row>
    <row r="364" spans="1:12" x14ac:dyDescent="0.25">
      <c r="A364" s="2">
        <v>1902</v>
      </c>
      <c r="B364" s="21" t="s">
        <v>215</v>
      </c>
      <c r="C364" s="2" t="s">
        <v>370</v>
      </c>
      <c r="D364" s="2" t="s">
        <v>378</v>
      </c>
      <c r="E364" s="2" t="s">
        <v>381</v>
      </c>
      <c r="F364" s="2" t="s">
        <v>389</v>
      </c>
      <c r="G364" s="2">
        <v>5</v>
      </c>
      <c r="H364" s="2">
        <v>20000</v>
      </c>
      <c r="I364" s="2">
        <v>0</v>
      </c>
      <c r="J364" s="3">
        <f t="shared" si="6"/>
        <v>100000</v>
      </c>
      <c r="K364" s="2" t="str">
        <f>TEXT(Table4[OrderDate], "mmmm")</f>
        <v>September</v>
      </c>
      <c r="L364" s="2">
        <f>IF(C364 = "", 0, IF(COUNTIF($C$2:C364, C364) = 1, 1, 0))</f>
        <v>0</v>
      </c>
    </row>
    <row r="365" spans="1:12" x14ac:dyDescent="0.25">
      <c r="A365" s="2">
        <v>1364</v>
      </c>
      <c r="B365" s="21" t="s">
        <v>128</v>
      </c>
      <c r="C365" s="2" t="s">
        <v>370</v>
      </c>
      <c r="D365" s="2" t="s">
        <v>378</v>
      </c>
      <c r="E365" s="2" t="s">
        <v>385</v>
      </c>
      <c r="F365" s="2" t="s">
        <v>390</v>
      </c>
      <c r="G365" s="2">
        <v>4</v>
      </c>
      <c r="H365" s="2">
        <v>2000</v>
      </c>
      <c r="I365" s="2">
        <v>0.15</v>
      </c>
      <c r="J365" s="3">
        <f t="shared" si="6"/>
        <v>6800</v>
      </c>
      <c r="K365" s="2" t="str">
        <f>TEXT(Table4[OrderDate], "mmmm")</f>
        <v>March</v>
      </c>
      <c r="L365" s="2">
        <f>IF(C365 = "", 0, IF(COUNTIF($C$2:C365, C365) = 1, 1, 0))</f>
        <v>0</v>
      </c>
    </row>
    <row r="366" spans="1:12" x14ac:dyDescent="0.25">
      <c r="A366" s="2">
        <v>1960</v>
      </c>
      <c r="B366" s="21" t="s">
        <v>10</v>
      </c>
      <c r="C366" s="2" t="s">
        <v>367</v>
      </c>
      <c r="D366" s="2" t="s">
        <v>377</v>
      </c>
      <c r="E366" s="2" t="s">
        <v>381</v>
      </c>
      <c r="F366" s="2" t="s">
        <v>389</v>
      </c>
      <c r="G366" s="2">
        <v>5</v>
      </c>
      <c r="H366" s="2">
        <v>20000</v>
      </c>
      <c r="I366" s="2">
        <v>0</v>
      </c>
      <c r="J366" s="3">
        <f t="shared" si="6"/>
        <v>100000</v>
      </c>
      <c r="K366" s="2" t="str">
        <f>TEXT(Table4[OrderDate], "mmmm")</f>
        <v>May</v>
      </c>
      <c r="L366" s="2">
        <f>IF(C366 = "", 0, IF(COUNTIF($C$2:C366, C366) = 1, 1, 0))</f>
        <v>0</v>
      </c>
    </row>
    <row r="367" spans="1:12" x14ac:dyDescent="0.25">
      <c r="A367" s="2">
        <v>1366</v>
      </c>
      <c r="B367" s="21" t="s">
        <v>58</v>
      </c>
      <c r="C367" s="2" t="s">
        <v>358</v>
      </c>
      <c r="D367" s="2" t="s">
        <v>378</v>
      </c>
      <c r="E367" s="2" t="s">
        <v>384</v>
      </c>
      <c r="F367" s="2" t="s">
        <v>389</v>
      </c>
      <c r="G367" s="2">
        <v>4</v>
      </c>
      <c r="H367" s="2">
        <v>30000</v>
      </c>
      <c r="I367" s="2">
        <v>0</v>
      </c>
      <c r="J367" s="3">
        <f t="shared" si="6"/>
        <v>120000</v>
      </c>
      <c r="K367" s="2" t="str">
        <f>TEXT(Table4[OrderDate], "mmmm")</f>
        <v>October</v>
      </c>
      <c r="L367" s="2">
        <f>IF(C367 = "", 0, IF(COUNTIF($C$2:C367, C367) = 1, 1, 0))</f>
        <v>0</v>
      </c>
    </row>
    <row r="368" spans="1:12" x14ac:dyDescent="0.25">
      <c r="A368" s="2">
        <v>1367</v>
      </c>
      <c r="B368" s="21" t="s">
        <v>245</v>
      </c>
      <c r="C368" s="2" t="s">
        <v>371</v>
      </c>
      <c r="D368" s="2" t="s">
        <v>376</v>
      </c>
      <c r="E368" s="2" t="s">
        <v>384</v>
      </c>
      <c r="F368" s="2" t="s">
        <v>389</v>
      </c>
      <c r="G368" s="2">
        <v>4</v>
      </c>
      <c r="H368" s="2">
        <v>30000</v>
      </c>
      <c r="I368" s="2">
        <v>0.05</v>
      </c>
      <c r="J368" s="3">
        <f t="shared" si="6"/>
        <v>114000</v>
      </c>
      <c r="K368" s="2" t="str">
        <f>TEXT(Table4[OrderDate], "mmmm")</f>
        <v>May</v>
      </c>
      <c r="L368" s="2">
        <f>IF(C368 = "", 0, IF(COUNTIF($C$2:C368, C368) = 1, 1, 0))</f>
        <v>0</v>
      </c>
    </row>
    <row r="369" spans="1:12" x14ac:dyDescent="0.25">
      <c r="A369" s="2">
        <v>1368</v>
      </c>
      <c r="B369" s="21" t="s">
        <v>56</v>
      </c>
      <c r="C369" s="2" t="s">
        <v>371</v>
      </c>
      <c r="D369" s="2" t="s">
        <v>374</v>
      </c>
      <c r="E369" s="2" t="s">
        <v>381</v>
      </c>
      <c r="F369" s="2" t="s">
        <v>389</v>
      </c>
      <c r="G369" s="2">
        <v>4</v>
      </c>
      <c r="H369" s="2">
        <v>20000</v>
      </c>
      <c r="I369" s="2">
        <v>0.1</v>
      </c>
      <c r="J369" s="3">
        <f t="shared" si="6"/>
        <v>72000</v>
      </c>
      <c r="K369" s="2" t="str">
        <f>TEXT(Table4[OrderDate], "mmmm")</f>
        <v>February</v>
      </c>
      <c r="L369" s="2">
        <f>IF(C369 = "", 0, IF(COUNTIF($C$2:C369, C369) = 1, 1, 0))</f>
        <v>0</v>
      </c>
    </row>
    <row r="370" spans="1:12" x14ac:dyDescent="0.25">
      <c r="A370" s="2">
        <v>1369</v>
      </c>
      <c r="B370" s="21" t="s">
        <v>207</v>
      </c>
      <c r="C370" s="2" t="s">
        <v>371</v>
      </c>
      <c r="D370" s="2" t="s">
        <v>375</v>
      </c>
      <c r="E370" s="2" t="s">
        <v>386</v>
      </c>
      <c r="F370" s="2" t="s">
        <v>391</v>
      </c>
      <c r="G370" s="2">
        <v>4</v>
      </c>
      <c r="H370" s="2">
        <v>7000</v>
      </c>
      <c r="I370" s="2">
        <v>0</v>
      </c>
      <c r="J370" s="3">
        <f t="shared" si="6"/>
        <v>28000</v>
      </c>
      <c r="K370" s="2" t="str">
        <f>TEXT(Table4[OrderDate], "mmmm")</f>
        <v>February</v>
      </c>
      <c r="L370" s="2">
        <f>IF(C370 = "", 0, IF(COUNTIF($C$2:C370, C370) = 1, 1, 0))</f>
        <v>0</v>
      </c>
    </row>
    <row r="371" spans="1:12" x14ac:dyDescent="0.25">
      <c r="A371" s="2">
        <v>1370</v>
      </c>
      <c r="B371" s="21" t="s">
        <v>150</v>
      </c>
      <c r="C371" s="2" t="s">
        <v>359</v>
      </c>
      <c r="D371" s="2" t="s">
        <v>375</v>
      </c>
      <c r="E371" s="2" t="s">
        <v>388</v>
      </c>
      <c r="F371" s="2" t="s">
        <v>389</v>
      </c>
      <c r="G371" s="2">
        <v>2</v>
      </c>
      <c r="H371" s="2">
        <v>12000</v>
      </c>
      <c r="I371" s="2">
        <v>0.1</v>
      </c>
      <c r="J371" s="3">
        <f t="shared" si="6"/>
        <v>21600</v>
      </c>
      <c r="K371" s="2" t="str">
        <f>TEXT(Table4[OrderDate], "mmmm")</f>
        <v>June</v>
      </c>
      <c r="L371" s="2">
        <f>IF(C371 = "", 0, IF(COUNTIF($C$2:C371, C371) = 1, 1, 0))</f>
        <v>0</v>
      </c>
    </row>
    <row r="372" spans="1:12" x14ac:dyDescent="0.25">
      <c r="A372" s="2">
        <v>1371</v>
      </c>
      <c r="B372" s="21" t="s">
        <v>38</v>
      </c>
      <c r="C372" s="2" t="s">
        <v>371</v>
      </c>
      <c r="D372" s="2" t="s">
        <v>378</v>
      </c>
      <c r="E372" s="2" t="s">
        <v>387</v>
      </c>
      <c r="F372" s="2" t="s">
        <v>391</v>
      </c>
      <c r="G372" s="2">
        <v>1</v>
      </c>
      <c r="H372" s="2">
        <v>3000</v>
      </c>
      <c r="I372" s="2">
        <v>0.15</v>
      </c>
      <c r="J372" s="3">
        <f t="shared" si="6"/>
        <v>2550</v>
      </c>
      <c r="K372" s="2" t="str">
        <f>TEXT(Table4[OrderDate], "mmmm")</f>
        <v>May</v>
      </c>
      <c r="L372" s="2">
        <f>IF(C372 = "", 0, IF(COUNTIF($C$2:C372, C372) = 1, 1, 0))</f>
        <v>0</v>
      </c>
    </row>
    <row r="373" spans="1:12" x14ac:dyDescent="0.25">
      <c r="A373" s="2">
        <v>1113</v>
      </c>
      <c r="B373" s="21" t="s">
        <v>72</v>
      </c>
      <c r="C373" s="2" t="s">
        <v>371</v>
      </c>
      <c r="D373" s="2" t="s">
        <v>380</v>
      </c>
      <c r="E373" s="2" t="s">
        <v>381</v>
      </c>
      <c r="F373" s="2" t="s">
        <v>389</v>
      </c>
      <c r="G373" s="2">
        <v>5</v>
      </c>
      <c r="H373" s="2">
        <v>20000</v>
      </c>
      <c r="I373" s="2">
        <v>0.05</v>
      </c>
      <c r="J373" s="3">
        <f t="shared" si="6"/>
        <v>95000</v>
      </c>
      <c r="K373" s="2" t="str">
        <f>TEXT(Table4[OrderDate], "mmmm")</f>
        <v>April</v>
      </c>
      <c r="L373" s="2">
        <f>IF(C373 = "", 0, IF(COUNTIF($C$2:C373, C373) = 1, 1, 0))</f>
        <v>0</v>
      </c>
    </row>
    <row r="374" spans="1:12" x14ac:dyDescent="0.25">
      <c r="A374" s="2">
        <v>1373</v>
      </c>
      <c r="B374" s="21" t="s">
        <v>247</v>
      </c>
      <c r="C374" s="2" t="s">
        <v>367</v>
      </c>
      <c r="D374" s="2" t="s">
        <v>380</v>
      </c>
      <c r="E374" s="2" t="s">
        <v>385</v>
      </c>
      <c r="F374" s="2" t="s">
        <v>390</v>
      </c>
      <c r="G374" s="2">
        <v>3</v>
      </c>
      <c r="H374" s="2">
        <v>2000</v>
      </c>
      <c r="I374" s="2">
        <v>0.1</v>
      </c>
      <c r="J374" s="3">
        <f t="shared" si="6"/>
        <v>5400</v>
      </c>
      <c r="K374" s="2" t="str">
        <f>TEXT(Table4[OrderDate], "mmmm")</f>
        <v>July</v>
      </c>
      <c r="L374" s="2">
        <f>IF(C374 = "", 0, IF(COUNTIF($C$2:C374, C374) = 1, 1, 0))</f>
        <v>0</v>
      </c>
    </row>
    <row r="375" spans="1:12" x14ac:dyDescent="0.25">
      <c r="A375" s="2">
        <v>1374</v>
      </c>
      <c r="B375" s="21" t="s">
        <v>248</v>
      </c>
      <c r="C375" s="2" t="s">
        <v>364</v>
      </c>
      <c r="D375" s="2" t="s">
        <v>376</v>
      </c>
      <c r="E375" s="2" t="s">
        <v>381</v>
      </c>
      <c r="F375" s="2" t="s">
        <v>389</v>
      </c>
      <c r="G375" s="2">
        <v>4</v>
      </c>
      <c r="H375" s="2">
        <v>20000</v>
      </c>
      <c r="I375" s="2">
        <v>0.1</v>
      </c>
      <c r="J375" s="3">
        <f t="shared" si="6"/>
        <v>72000</v>
      </c>
      <c r="K375" s="2" t="str">
        <f>TEXT(Table4[OrderDate], "mmmm")</f>
        <v>April</v>
      </c>
      <c r="L375" s="2">
        <f>IF(C375 = "", 0, IF(COUNTIF($C$2:C375, C375) = 1, 1, 0))</f>
        <v>0</v>
      </c>
    </row>
    <row r="376" spans="1:12" x14ac:dyDescent="0.25">
      <c r="A376" s="2">
        <v>1375</v>
      </c>
      <c r="B376" s="21" t="s">
        <v>249</v>
      </c>
      <c r="C376" s="2" t="s">
        <v>359</v>
      </c>
      <c r="D376" s="2" t="s">
        <v>379</v>
      </c>
      <c r="E376" s="2" t="s">
        <v>383</v>
      </c>
      <c r="F376" s="2" t="s">
        <v>390</v>
      </c>
      <c r="G376" s="2">
        <v>1</v>
      </c>
      <c r="H376" s="2">
        <v>1500</v>
      </c>
      <c r="I376" s="2">
        <v>0.05</v>
      </c>
      <c r="J376" s="3">
        <f t="shared" si="6"/>
        <v>1425</v>
      </c>
      <c r="K376" s="2" t="str">
        <f>TEXT(Table4[OrderDate], "mmmm")</f>
        <v>March</v>
      </c>
      <c r="L376" s="2">
        <f>IF(C376 = "", 0, IF(COUNTIF($C$2:C376, C376) = 1, 1, 0))</f>
        <v>0</v>
      </c>
    </row>
    <row r="377" spans="1:12" x14ac:dyDescent="0.25">
      <c r="A377" s="2">
        <v>1376</v>
      </c>
      <c r="B377" s="21" t="s">
        <v>213</v>
      </c>
      <c r="C377" s="2" t="s">
        <v>366</v>
      </c>
      <c r="D377" s="2" t="s">
        <v>375</v>
      </c>
      <c r="E377" s="2" t="s">
        <v>383</v>
      </c>
      <c r="F377" s="2" t="s">
        <v>390</v>
      </c>
      <c r="G377" s="2">
        <v>3</v>
      </c>
      <c r="H377" s="2">
        <v>1500</v>
      </c>
      <c r="I377" s="2">
        <v>0.05</v>
      </c>
      <c r="J377" s="3">
        <f t="shared" si="6"/>
        <v>4275</v>
      </c>
      <c r="K377" s="2" t="str">
        <f>TEXT(Table4[OrderDate], "mmmm")</f>
        <v>April</v>
      </c>
      <c r="L377" s="2">
        <f>IF(C377 = "", 0, IF(COUNTIF($C$2:C377, C377) = 1, 1, 0))</f>
        <v>0</v>
      </c>
    </row>
    <row r="378" spans="1:12" x14ac:dyDescent="0.25">
      <c r="A378" s="2">
        <v>1128</v>
      </c>
      <c r="B378" s="21" t="s">
        <v>114</v>
      </c>
      <c r="C378" s="2" t="s">
        <v>361</v>
      </c>
      <c r="D378" s="2" t="s">
        <v>379</v>
      </c>
      <c r="E378" s="2" t="s">
        <v>381</v>
      </c>
      <c r="F378" s="2" t="s">
        <v>389</v>
      </c>
      <c r="G378" s="2">
        <v>5</v>
      </c>
      <c r="H378" s="2">
        <v>20000</v>
      </c>
      <c r="I378" s="2">
        <v>0.05</v>
      </c>
      <c r="J378" s="3">
        <f t="shared" si="6"/>
        <v>95000</v>
      </c>
      <c r="K378" s="2" t="str">
        <f>TEXT(Table4[OrderDate], "mmmm")</f>
        <v>November</v>
      </c>
      <c r="L378" s="2">
        <f>IF(C378 = "", 0, IF(COUNTIF($C$2:C378, C378) = 1, 1, 0))</f>
        <v>0</v>
      </c>
    </row>
    <row r="379" spans="1:12" x14ac:dyDescent="0.25">
      <c r="A379" s="2">
        <v>1378</v>
      </c>
      <c r="B379" s="21" t="s">
        <v>250</v>
      </c>
      <c r="C379" s="2" t="s">
        <v>364</v>
      </c>
      <c r="D379" s="2" t="s">
        <v>373</v>
      </c>
      <c r="E379" s="2" t="s">
        <v>388</v>
      </c>
      <c r="F379" s="2" t="s">
        <v>389</v>
      </c>
      <c r="G379" s="2">
        <v>4</v>
      </c>
      <c r="H379" s="2">
        <v>12000</v>
      </c>
      <c r="I379" s="2">
        <v>0.15</v>
      </c>
      <c r="J379" s="3">
        <f t="shared" si="6"/>
        <v>40800</v>
      </c>
      <c r="K379" s="2" t="str">
        <f>TEXT(Table4[OrderDate], "mmmm")</f>
        <v>March</v>
      </c>
      <c r="L379" s="2">
        <f>IF(C379 = "", 0, IF(COUNTIF($C$2:C379, C379) = 1, 1, 0))</f>
        <v>0</v>
      </c>
    </row>
    <row r="380" spans="1:12" x14ac:dyDescent="0.25">
      <c r="A380" s="2">
        <v>1195</v>
      </c>
      <c r="B380" s="21" t="s">
        <v>162</v>
      </c>
      <c r="C380" s="2" t="s">
        <v>363</v>
      </c>
      <c r="D380" s="2" t="s">
        <v>375</v>
      </c>
      <c r="E380" s="2" t="s">
        <v>381</v>
      </c>
      <c r="F380" s="2" t="s">
        <v>389</v>
      </c>
      <c r="G380" s="2">
        <v>5</v>
      </c>
      <c r="H380" s="2">
        <v>20000</v>
      </c>
      <c r="I380" s="2">
        <v>0.05</v>
      </c>
      <c r="J380" s="3">
        <f t="shared" si="6"/>
        <v>95000</v>
      </c>
      <c r="K380" s="2" t="str">
        <f>TEXT(Table4[OrderDate], "mmmm")</f>
        <v>August</v>
      </c>
      <c r="L380" s="2">
        <f>IF(C380 = "", 0, IF(COUNTIF($C$2:C380, C380) = 1, 1, 0))</f>
        <v>0</v>
      </c>
    </row>
    <row r="381" spans="1:12" x14ac:dyDescent="0.25">
      <c r="A381" s="2">
        <v>1380</v>
      </c>
      <c r="B381" s="21" t="s">
        <v>62</v>
      </c>
      <c r="C381" s="2" t="s">
        <v>361</v>
      </c>
      <c r="D381" s="2" t="s">
        <v>375</v>
      </c>
      <c r="E381" s="2" t="s">
        <v>381</v>
      </c>
      <c r="F381" s="2" t="s">
        <v>389</v>
      </c>
      <c r="G381" s="2">
        <v>1</v>
      </c>
      <c r="H381" s="2">
        <v>20000</v>
      </c>
      <c r="I381" s="2">
        <v>0</v>
      </c>
      <c r="J381" s="3">
        <f t="shared" si="6"/>
        <v>20000</v>
      </c>
      <c r="K381" s="2" t="str">
        <f>TEXT(Table4[OrderDate], "mmmm")</f>
        <v>July</v>
      </c>
      <c r="L381" s="2">
        <f>IF(C381 = "", 0, IF(COUNTIF($C$2:C381, C381) = 1, 1, 0))</f>
        <v>0</v>
      </c>
    </row>
    <row r="382" spans="1:12" x14ac:dyDescent="0.25">
      <c r="A382" s="2">
        <v>1381</v>
      </c>
      <c r="B382" s="21" t="s">
        <v>251</v>
      </c>
      <c r="C382" s="2" t="s">
        <v>363</v>
      </c>
      <c r="D382" s="2" t="s">
        <v>376</v>
      </c>
      <c r="E382" s="2" t="s">
        <v>381</v>
      </c>
      <c r="F382" s="2" t="s">
        <v>389</v>
      </c>
      <c r="G382" s="2">
        <v>2</v>
      </c>
      <c r="H382" s="2">
        <v>20000</v>
      </c>
      <c r="I382" s="2">
        <v>0</v>
      </c>
      <c r="J382" s="3">
        <f t="shared" si="6"/>
        <v>40000</v>
      </c>
      <c r="K382" s="2" t="str">
        <f>TEXT(Table4[OrderDate], "mmmm")</f>
        <v>April</v>
      </c>
      <c r="L382" s="2">
        <f>IF(C382 = "", 0, IF(COUNTIF($C$2:C382, C382) = 1, 1, 0))</f>
        <v>0</v>
      </c>
    </row>
    <row r="383" spans="1:12" x14ac:dyDescent="0.25">
      <c r="A383" s="2">
        <v>1222</v>
      </c>
      <c r="B383" s="21" t="s">
        <v>181</v>
      </c>
      <c r="C383" s="2" t="s">
        <v>364</v>
      </c>
      <c r="D383" s="2" t="s">
        <v>373</v>
      </c>
      <c r="E383" s="2" t="s">
        <v>381</v>
      </c>
      <c r="F383" s="2" t="s">
        <v>389</v>
      </c>
      <c r="G383" s="2">
        <v>5</v>
      </c>
      <c r="H383" s="2">
        <v>20000</v>
      </c>
      <c r="I383" s="2">
        <v>0.05</v>
      </c>
      <c r="J383" s="3">
        <f t="shared" si="6"/>
        <v>95000</v>
      </c>
      <c r="K383" s="2" t="str">
        <f>TEXT(Table4[OrderDate], "mmmm")</f>
        <v>June</v>
      </c>
      <c r="L383" s="2">
        <f>IF(C383 = "", 0, IF(COUNTIF($C$2:C383, C383) = 1, 1, 0))</f>
        <v>0</v>
      </c>
    </row>
    <row r="384" spans="1:12" x14ac:dyDescent="0.25">
      <c r="A384" s="2">
        <v>1327</v>
      </c>
      <c r="B384" s="21" t="s">
        <v>38</v>
      </c>
      <c r="C384" s="2" t="s">
        <v>372</v>
      </c>
      <c r="D384" s="2" t="s">
        <v>375</v>
      </c>
      <c r="E384" s="2" t="s">
        <v>381</v>
      </c>
      <c r="F384" s="2" t="s">
        <v>389</v>
      </c>
      <c r="G384" s="2">
        <v>5</v>
      </c>
      <c r="H384" s="2">
        <v>20000</v>
      </c>
      <c r="I384" s="2">
        <v>0.05</v>
      </c>
      <c r="J384" s="3">
        <f t="shared" si="6"/>
        <v>95000</v>
      </c>
      <c r="K384" s="2" t="str">
        <f>TEXT(Table4[OrderDate], "mmmm")</f>
        <v>May</v>
      </c>
      <c r="L384" s="2">
        <f>IF(C384 = "", 0, IF(COUNTIF($C$2:C384, C384) = 1, 1, 0))</f>
        <v>0</v>
      </c>
    </row>
    <row r="385" spans="1:12" x14ac:dyDescent="0.25">
      <c r="A385" s="2">
        <v>1384</v>
      </c>
      <c r="B385" s="21" t="s">
        <v>253</v>
      </c>
      <c r="C385" s="2" t="s">
        <v>362</v>
      </c>
      <c r="D385" s="2" t="s">
        <v>377</v>
      </c>
      <c r="E385" s="2" t="s">
        <v>386</v>
      </c>
      <c r="F385" s="2" t="s">
        <v>391</v>
      </c>
      <c r="G385" s="2">
        <v>1</v>
      </c>
      <c r="H385" s="2">
        <v>7000</v>
      </c>
      <c r="I385" s="2">
        <v>0.15</v>
      </c>
      <c r="J385" s="3">
        <f t="shared" si="6"/>
        <v>5950</v>
      </c>
      <c r="K385" s="2" t="str">
        <f>TEXT(Table4[OrderDate], "mmmm")</f>
        <v>April</v>
      </c>
      <c r="L385" s="2">
        <f>IF(C385 = "", 0, IF(COUNTIF($C$2:C385, C385) = 1, 1, 0))</f>
        <v>0</v>
      </c>
    </row>
    <row r="386" spans="1:12" x14ac:dyDescent="0.25">
      <c r="A386" s="2">
        <v>1385</v>
      </c>
      <c r="B386" s="21" t="s">
        <v>148</v>
      </c>
      <c r="C386" s="2" t="s">
        <v>360</v>
      </c>
      <c r="D386" s="2" t="s">
        <v>376</v>
      </c>
      <c r="E386" s="2" t="s">
        <v>384</v>
      </c>
      <c r="F386" s="2" t="s">
        <v>389</v>
      </c>
      <c r="G386" s="2">
        <v>2</v>
      </c>
      <c r="H386" s="2">
        <v>30000</v>
      </c>
      <c r="I386" s="2">
        <v>0.05</v>
      </c>
      <c r="J386" s="3">
        <f t="shared" ref="J386:J449" si="7">H386*(1-I386)*G386</f>
        <v>57000</v>
      </c>
      <c r="K386" s="2" t="str">
        <f>TEXT(Table4[OrderDate], "mmmm")</f>
        <v>November</v>
      </c>
      <c r="L386" s="2">
        <f>IF(C386 = "", 0, IF(COUNTIF($C$2:C386, C386) = 1, 1, 0))</f>
        <v>0</v>
      </c>
    </row>
    <row r="387" spans="1:12" x14ac:dyDescent="0.25">
      <c r="A387" s="2">
        <v>1386</v>
      </c>
      <c r="B387" s="21" t="s">
        <v>197</v>
      </c>
      <c r="C387" s="2" t="s">
        <v>368</v>
      </c>
      <c r="D387" s="2" t="s">
        <v>380</v>
      </c>
      <c r="E387" s="2" t="s">
        <v>386</v>
      </c>
      <c r="F387" s="2" t="s">
        <v>391</v>
      </c>
      <c r="G387" s="2">
        <v>4</v>
      </c>
      <c r="H387" s="2">
        <v>7000</v>
      </c>
      <c r="I387" s="2">
        <v>0</v>
      </c>
      <c r="J387" s="3">
        <f t="shared" si="7"/>
        <v>28000</v>
      </c>
      <c r="K387" s="2" t="str">
        <f>TEXT(Table4[OrderDate], "mmmm")</f>
        <v>July</v>
      </c>
      <c r="L387" s="2">
        <f>IF(C387 = "", 0, IF(COUNTIF($C$2:C387, C387) = 1, 1, 0))</f>
        <v>0</v>
      </c>
    </row>
    <row r="388" spans="1:12" x14ac:dyDescent="0.25">
      <c r="A388" s="2">
        <v>1387</v>
      </c>
      <c r="B388" s="21" t="s">
        <v>22</v>
      </c>
      <c r="C388" s="2" t="s">
        <v>365</v>
      </c>
      <c r="D388" s="2" t="s">
        <v>374</v>
      </c>
      <c r="E388" s="2" t="s">
        <v>387</v>
      </c>
      <c r="F388" s="2" t="s">
        <v>391</v>
      </c>
      <c r="G388" s="2">
        <v>2</v>
      </c>
      <c r="H388" s="2">
        <v>3000</v>
      </c>
      <c r="I388" s="2">
        <v>0.1</v>
      </c>
      <c r="J388" s="3">
        <f t="shared" si="7"/>
        <v>5400</v>
      </c>
      <c r="K388" s="2" t="str">
        <f>TEXT(Table4[OrderDate], "mmmm")</f>
        <v>December</v>
      </c>
      <c r="L388" s="2">
        <f>IF(C388 = "", 0, IF(COUNTIF($C$2:C388, C388) = 1, 1, 0))</f>
        <v>0</v>
      </c>
    </row>
    <row r="389" spans="1:12" x14ac:dyDescent="0.25">
      <c r="A389" s="2">
        <v>1388</v>
      </c>
      <c r="B389" s="21" t="s">
        <v>254</v>
      </c>
      <c r="C389" s="2" t="s">
        <v>367</v>
      </c>
      <c r="D389" s="2" t="s">
        <v>374</v>
      </c>
      <c r="E389" s="2" t="s">
        <v>381</v>
      </c>
      <c r="F389" s="2" t="s">
        <v>389</v>
      </c>
      <c r="G389" s="2">
        <v>4</v>
      </c>
      <c r="H389" s="2">
        <v>20000</v>
      </c>
      <c r="I389" s="2">
        <v>0.15</v>
      </c>
      <c r="J389" s="3">
        <f t="shared" si="7"/>
        <v>68000</v>
      </c>
      <c r="K389" s="2" t="str">
        <f>TEXT(Table4[OrderDate], "mmmm")</f>
        <v>July</v>
      </c>
      <c r="L389" s="2">
        <f>IF(C389 = "", 0, IF(COUNTIF($C$2:C389, C389) = 1, 1, 0))</f>
        <v>0</v>
      </c>
    </row>
    <row r="390" spans="1:12" x14ac:dyDescent="0.25">
      <c r="A390" s="2">
        <v>1389</v>
      </c>
      <c r="B390" s="21" t="s">
        <v>205</v>
      </c>
      <c r="C390" s="2" t="s">
        <v>358</v>
      </c>
      <c r="D390" s="2" t="s">
        <v>376</v>
      </c>
      <c r="E390" s="2" t="s">
        <v>382</v>
      </c>
      <c r="F390" s="2" t="s">
        <v>389</v>
      </c>
      <c r="G390" s="2">
        <v>2</v>
      </c>
      <c r="H390" s="2">
        <v>50000</v>
      </c>
      <c r="I390" s="2">
        <v>0</v>
      </c>
      <c r="J390" s="3">
        <f t="shared" si="7"/>
        <v>100000</v>
      </c>
      <c r="K390" s="2" t="str">
        <f>TEXT(Table4[OrderDate], "mmmm")</f>
        <v>September</v>
      </c>
      <c r="L390" s="2">
        <f>IF(C390 = "", 0, IF(COUNTIF($C$2:C390, C390) = 1, 1, 0))</f>
        <v>0</v>
      </c>
    </row>
    <row r="391" spans="1:12" x14ac:dyDescent="0.25">
      <c r="A391" s="2">
        <v>1668</v>
      </c>
      <c r="B391" s="21" t="s">
        <v>125</v>
      </c>
      <c r="C391" s="2" t="s">
        <v>368</v>
      </c>
      <c r="D391" s="2" t="s">
        <v>377</v>
      </c>
      <c r="E391" s="2" t="s">
        <v>381</v>
      </c>
      <c r="F391" s="2" t="s">
        <v>389</v>
      </c>
      <c r="G391" s="2">
        <v>5</v>
      </c>
      <c r="H391" s="2">
        <v>20000</v>
      </c>
      <c r="I391" s="2">
        <v>0.05</v>
      </c>
      <c r="J391" s="3">
        <f t="shared" si="7"/>
        <v>95000</v>
      </c>
      <c r="K391" s="2" t="str">
        <f>TEXT(Table4[OrderDate], "mmmm")</f>
        <v>July</v>
      </c>
      <c r="L391" s="2">
        <f>IF(C391 = "", 0, IF(COUNTIF($C$2:C391, C391) = 1, 1, 0))</f>
        <v>0</v>
      </c>
    </row>
    <row r="392" spans="1:12" x14ac:dyDescent="0.25">
      <c r="A392" s="2">
        <v>1391</v>
      </c>
      <c r="B392" s="21" t="s">
        <v>22</v>
      </c>
      <c r="C392" s="2" t="s">
        <v>360</v>
      </c>
      <c r="D392" s="2" t="s">
        <v>374</v>
      </c>
      <c r="E392" s="2" t="s">
        <v>386</v>
      </c>
      <c r="F392" s="2" t="s">
        <v>391</v>
      </c>
      <c r="G392" s="2">
        <v>1</v>
      </c>
      <c r="H392" s="2">
        <v>7000</v>
      </c>
      <c r="I392" s="2">
        <v>0</v>
      </c>
      <c r="J392" s="3">
        <f t="shared" si="7"/>
        <v>7000</v>
      </c>
      <c r="K392" s="2" t="str">
        <f>TEXT(Table4[OrderDate], "mmmm")</f>
        <v>December</v>
      </c>
      <c r="L392" s="2">
        <f>IF(C392 = "", 0, IF(COUNTIF($C$2:C392, C392) = 1, 1, 0))</f>
        <v>0</v>
      </c>
    </row>
    <row r="393" spans="1:12" x14ac:dyDescent="0.25">
      <c r="A393" s="2">
        <v>1392</v>
      </c>
      <c r="B393" s="21" t="s">
        <v>109</v>
      </c>
      <c r="C393" s="2" t="s">
        <v>361</v>
      </c>
      <c r="D393" s="2" t="s">
        <v>378</v>
      </c>
      <c r="E393" s="2" t="s">
        <v>384</v>
      </c>
      <c r="F393" s="2" t="s">
        <v>389</v>
      </c>
      <c r="G393" s="2">
        <v>3</v>
      </c>
      <c r="H393" s="2">
        <v>30000</v>
      </c>
      <c r="I393" s="2">
        <v>0</v>
      </c>
      <c r="J393" s="3">
        <f t="shared" si="7"/>
        <v>90000</v>
      </c>
      <c r="K393" s="2" t="str">
        <f>TEXT(Table4[OrderDate], "mmmm")</f>
        <v>April</v>
      </c>
      <c r="L393" s="2">
        <f>IF(C393 = "", 0, IF(COUNTIF($C$2:C393, C393) = 1, 1, 0))</f>
        <v>0</v>
      </c>
    </row>
    <row r="394" spans="1:12" x14ac:dyDescent="0.25">
      <c r="A394" s="2">
        <v>1393</v>
      </c>
      <c r="B394" s="21" t="s">
        <v>108</v>
      </c>
      <c r="C394" s="2" t="s">
        <v>357</v>
      </c>
      <c r="D394" s="2" t="s">
        <v>378</v>
      </c>
      <c r="E394" s="2" t="s">
        <v>381</v>
      </c>
      <c r="F394" s="2" t="s">
        <v>389</v>
      </c>
      <c r="G394" s="2">
        <v>3</v>
      </c>
      <c r="H394" s="2">
        <v>20000</v>
      </c>
      <c r="I394" s="2">
        <v>0.05</v>
      </c>
      <c r="J394" s="3">
        <f t="shared" si="7"/>
        <v>57000</v>
      </c>
      <c r="K394" s="2" t="str">
        <f>TEXT(Table4[OrderDate], "mmmm")</f>
        <v>October</v>
      </c>
      <c r="L394" s="2">
        <f>IF(C394 = "", 0, IF(COUNTIF($C$2:C394, C394) = 1, 1, 0))</f>
        <v>0</v>
      </c>
    </row>
    <row r="395" spans="1:12" x14ac:dyDescent="0.25">
      <c r="A395" s="2">
        <v>1394</v>
      </c>
      <c r="B395" s="21" t="s">
        <v>111</v>
      </c>
      <c r="C395" s="2" t="s">
        <v>365</v>
      </c>
      <c r="D395" s="2" t="s">
        <v>376</v>
      </c>
      <c r="E395" s="2" t="s">
        <v>385</v>
      </c>
      <c r="F395" s="2" t="s">
        <v>390</v>
      </c>
      <c r="G395" s="2">
        <v>4</v>
      </c>
      <c r="H395" s="2">
        <v>2000</v>
      </c>
      <c r="I395" s="2">
        <v>0.05</v>
      </c>
      <c r="J395" s="3">
        <f t="shared" si="7"/>
        <v>7600</v>
      </c>
      <c r="K395" s="2" t="str">
        <f>TEXT(Table4[OrderDate], "mmmm")</f>
        <v>December</v>
      </c>
      <c r="L395" s="2">
        <f>IF(C395 = "", 0, IF(COUNTIF($C$2:C395, C395) = 1, 1, 0))</f>
        <v>0</v>
      </c>
    </row>
    <row r="396" spans="1:12" x14ac:dyDescent="0.25">
      <c r="A396" s="2">
        <v>1395</v>
      </c>
      <c r="B396" s="21" t="s">
        <v>136</v>
      </c>
      <c r="C396" s="2" t="s">
        <v>365</v>
      </c>
      <c r="D396" s="2" t="s">
        <v>376</v>
      </c>
      <c r="E396" s="2" t="s">
        <v>382</v>
      </c>
      <c r="F396" s="2" t="s">
        <v>389</v>
      </c>
      <c r="G396" s="2">
        <v>1</v>
      </c>
      <c r="H396" s="2">
        <v>50000</v>
      </c>
      <c r="I396" s="2">
        <v>0.15</v>
      </c>
      <c r="J396" s="3">
        <f t="shared" si="7"/>
        <v>42500</v>
      </c>
      <c r="K396" s="2" t="str">
        <f>TEXT(Table4[OrderDate], "mmmm")</f>
        <v>April</v>
      </c>
      <c r="L396" s="2">
        <f>IF(C396 = "", 0, IF(COUNTIF($C$2:C396, C396) = 1, 1, 0))</f>
        <v>0</v>
      </c>
    </row>
    <row r="397" spans="1:12" x14ac:dyDescent="0.25">
      <c r="A397" s="2">
        <v>1396</v>
      </c>
      <c r="B397" s="21" t="s">
        <v>255</v>
      </c>
      <c r="C397" s="2" t="s">
        <v>360</v>
      </c>
      <c r="D397" s="2" t="s">
        <v>380</v>
      </c>
      <c r="E397" s="2" t="s">
        <v>383</v>
      </c>
      <c r="F397" s="2" t="s">
        <v>390</v>
      </c>
      <c r="G397" s="2">
        <v>3</v>
      </c>
      <c r="H397" s="2">
        <v>1500</v>
      </c>
      <c r="I397" s="2">
        <v>0</v>
      </c>
      <c r="J397" s="3">
        <f t="shared" si="7"/>
        <v>4500</v>
      </c>
      <c r="K397" s="2" t="str">
        <f>TEXT(Table4[OrderDate], "mmmm")</f>
        <v>November</v>
      </c>
      <c r="L397" s="2">
        <f>IF(C397 = "", 0, IF(COUNTIF($C$2:C397, C397) = 1, 1, 0))</f>
        <v>0</v>
      </c>
    </row>
    <row r="398" spans="1:12" x14ac:dyDescent="0.25">
      <c r="A398" s="2">
        <v>1397</v>
      </c>
      <c r="B398" s="21" t="s">
        <v>54</v>
      </c>
      <c r="C398" s="2" t="s">
        <v>368</v>
      </c>
      <c r="D398" s="2" t="s">
        <v>378</v>
      </c>
      <c r="E398" s="2" t="s">
        <v>388</v>
      </c>
      <c r="F398" s="2" t="s">
        <v>389</v>
      </c>
      <c r="G398" s="2">
        <v>2</v>
      </c>
      <c r="H398" s="2">
        <v>12000</v>
      </c>
      <c r="I398" s="2">
        <v>0.1</v>
      </c>
      <c r="J398" s="3">
        <f t="shared" si="7"/>
        <v>21600</v>
      </c>
      <c r="K398" s="2" t="str">
        <f>TEXT(Table4[OrderDate], "mmmm")</f>
        <v>October</v>
      </c>
      <c r="L398" s="2">
        <f>IF(C398 = "", 0, IF(COUNTIF($C$2:C398, C398) = 1, 1, 0))</f>
        <v>0</v>
      </c>
    </row>
    <row r="399" spans="1:12" x14ac:dyDescent="0.25">
      <c r="A399" s="2">
        <v>1993</v>
      </c>
      <c r="B399" s="21" t="s">
        <v>237</v>
      </c>
      <c r="C399" s="2" t="s">
        <v>368</v>
      </c>
      <c r="D399" s="2" t="s">
        <v>380</v>
      </c>
      <c r="E399" s="2" t="s">
        <v>381</v>
      </c>
      <c r="F399" s="2" t="s">
        <v>389</v>
      </c>
      <c r="G399" s="2">
        <v>5</v>
      </c>
      <c r="H399" s="2">
        <v>20000</v>
      </c>
      <c r="I399" s="2">
        <v>0.05</v>
      </c>
      <c r="J399" s="3">
        <f t="shared" si="7"/>
        <v>95000</v>
      </c>
      <c r="K399" s="2" t="str">
        <f>TEXT(Table4[OrderDate], "mmmm")</f>
        <v>January</v>
      </c>
      <c r="L399" s="2">
        <f>IF(C399 = "", 0, IF(COUNTIF($C$2:C399, C399) = 1, 1, 0))</f>
        <v>0</v>
      </c>
    </row>
    <row r="400" spans="1:12" x14ac:dyDescent="0.25">
      <c r="A400" s="2">
        <v>1399</v>
      </c>
      <c r="B400" s="21" t="s">
        <v>188</v>
      </c>
      <c r="C400" s="2" t="s">
        <v>368</v>
      </c>
      <c r="D400" s="2" t="s">
        <v>373</v>
      </c>
      <c r="E400" s="2" t="s">
        <v>381</v>
      </c>
      <c r="F400" s="2" t="s">
        <v>389</v>
      </c>
      <c r="G400" s="2">
        <v>1</v>
      </c>
      <c r="H400" s="2">
        <v>20000</v>
      </c>
      <c r="I400" s="2">
        <v>0.1</v>
      </c>
      <c r="J400" s="3">
        <f t="shared" si="7"/>
        <v>18000</v>
      </c>
      <c r="K400" s="2" t="str">
        <f>TEXT(Table4[OrderDate], "mmmm")</f>
        <v>March</v>
      </c>
      <c r="L400" s="2">
        <f>IF(C400 = "", 0, IF(COUNTIF($C$2:C400, C400) = 1, 1, 0))</f>
        <v>0</v>
      </c>
    </row>
    <row r="401" spans="1:12" x14ac:dyDescent="0.25">
      <c r="A401" s="2">
        <v>1400</v>
      </c>
      <c r="B401" s="21" t="s">
        <v>256</v>
      </c>
      <c r="C401" s="2" t="s">
        <v>365</v>
      </c>
      <c r="D401" s="2" t="s">
        <v>374</v>
      </c>
      <c r="E401" s="2" t="s">
        <v>383</v>
      </c>
      <c r="F401" s="2" t="s">
        <v>390</v>
      </c>
      <c r="G401" s="2">
        <v>3</v>
      </c>
      <c r="H401" s="2">
        <v>1500</v>
      </c>
      <c r="I401" s="2">
        <v>0.1</v>
      </c>
      <c r="J401" s="3">
        <f t="shared" si="7"/>
        <v>4050</v>
      </c>
      <c r="K401" s="2" t="str">
        <f>TEXT(Table4[OrderDate], "mmmm")</f>
        <v>February</v>
      </c>
      <c r="L401" s="2">
        <f>IF(C401 = "", 0, IF(COUNTIF($C$2:C401, C401) = 1, 1, 0))</f>
        <v>0</v>
      </c>
    </row>
    <row r="402" spans="1:12" x14ac:dyDescent="0.25">
      <c r="A402" s="2">
        <v>1401</v>
      </c>
      <c r="B402" s="21" t="s">
        <v>257</v>
      </c>
      <c r="C402" s="2" t="s">
        <v>362</v>
      </c>
      <c r="D402" s="2" t="s">
        <v>373</v>
      </c>
      <c r="E402" s="2" t="s">
        <v>386</v>
      </c>
      <c r="F402" s="2" t="s">
        <v>391</v>
      </c>
      <c r="G402" s="2">
        <v>4</v>
      </c>
      <c r="H402" s="2">
        <v>7000</v>
      </c>
      <c r="I402" s="2">
        <v>0.1</v>
      </c>
      <c r="J402" s="3">
        <f t="shared" si="7"/>
        <v>25200</v>
      </c>
      <c r="K402" s="2" t="str">
        <f>TEXT(Table4[OrderDate], "mmmm")</f>
        <v>May</v>
      </c>
      <c r="L402" s="2">
        <f>IF(C402 = "", 0, IF(COUNTIF($C$2:C402, C402) = 1, 1, 0))</f>
        <v>0</v>
      </c>
    </row>
    <row r="403" spans="1:12" x14ac:dyDescent="0.25">
      <c r="A403" s="2">
        <v>1402</v>
      </c>
      <c r="B403" s="21" t="s">
        <v>190</v>
      </c>
      <c r="C403" s="2" t="s">
        <v>358</v>
      </c>
      <c r="D403" s="2" t="s">
        <v>377</v>
      </c>
      <c r="E403" s="2" t="s">
        <v>381</v>
      </c>
      <c r="F403" s="2" t="s">
        <v>389</v>
      </c>
      <c r="G403" s="2">
        <v>2</v>
      </c>
      <c r="H403" s="2">
        <v>20000</v>
      </c>
      <c r="I403" s="2">
        <v>0.15</v>
      </c>
      <c r="J403" s="3">
        <f t="shared" si="7"/>
        <v>34000</v>
      </c>
      <c r="K403" s="2" t="str">
        <f>TEXT(Table4[OrderDate], "mmmm")</f>
        <v>August</v>
      </c>
      <c r="L403" s="2">
        <f>IF(C403 = "", 0, IF(COUNTIF($C$2:C403, C403) = 1, 1, 0))</f>
        <v>0</v>
      </c>
    </row>
    <row r="404" spans="1:12" x14ac:dyDescent="0.25">
      <c r="A404" s="2">
        <v>1403</v>
      </c>
      <c r="B404" s="21" t="s">
        <v>54</v>
      </c>
      <c r="C404" s="2" t="s">
        <v>365</v>
      </c>
      <c r="D404" s="2" t="s">
        <v>376</v>
      </c>
      <c r="E404" s="2" t="s">
        <v>382</v>
      </c>
      <c r="F404" s="2" t="s">
        <v>389</v>
      </c>
      <c r="G404" s="2">
        <v>1</v>
      </c>
      <c r="H404" s="2">
        <v>50000</v>
      </c>
      <c r="I404" s="2">
        <v>0.1</v>
      </c>
      <c r="J404" s="3">
        <f t="shared" si="7"/>
        <v>45000</v>
      </c>
      <c r="K404" s="2" t="str">
        <f>TEXT(Table4[OrderDate], "mmmm")</f>
        <v>October</v>
      </c>
      <c r="L404" s="2">
        <f>IF(C404 = "", 0, IF(COUNTIF($C$2:C404, C404) = 1, 1, 0))</f>
        <v>0</v>
      </c>
    </row>
    <row r="405" spans="1:12" x14ac:dyDescent="0.25">
      <c r="A405" s="2">
        <v>1404</v>
      </c>
      <c r="B405" s="21" t="s">
        <v>62</v>
      </c>
      <c r="C405" s="2" t="s">
        <v>368</v>
      </c>
      <c r="D405" s="2" t="s">
        <v>377</v>
      </c>
      <c r="E405" s="2" t="s">
        <v>383</v>
      </c>
      <c r="F405" s="2" t="s">
        <v>390</v>
      </c>
      <c r="G405" s="2">
        <v>1</v>
      </c>
      <c r="H405" s="2">
        <v>1500</v>
      </c>
      <c r="I405" s="2">
        <v>0.1</v>
      </c>
      <c r="J405" s="3">
        <f t="shared" si="7"/>
        <v>1350</v>
      </c>
      <c r="K405" s="2" t="str">
        <f>TEXT(Table4[OrderDate], "mmmm")</f>
        <v>July</v>
      </c>
      <c r="L405" s="2">
        <f>IF(C405 = "", 0, IF(COUNTIF($C$2:C405, C405) = 1, 1, 0))</f>
        <v>0</v>
      </c>
    </row>
    <row r="406" spans="1:12" x14ac:dyDescent="0.25">
      <c r="A406" s="2">
        <v>1258</v>
      </c>
      <c r="B406" s="21" t="s">
        <v>196</v>
      </c>
      <c r="C406" s="2" t="s">
        <v>359</v>
      </c>
      <c r="D406" s="2" t="s">
        <v>378</v>
      </c>
      <c r="E406" s="2" t="s">
        <v>381</v>
      </c>
      <c r="F406" s="2" t="s">
        <v>389</v>
      </c>
      <c r="G406" s="2">
        <v>5</v>
      </c>
      <c r="H406" s="2">
        <v>20000</v>
      </c>
      <c r="I406" s="2">
        <v>0.1</v>
      </c>
      <c r="J406" s="3">
        <f t="shared" si="7"/>
        <v>90000</v>
      </c>
      <c r="K406" s="2" t="str">
        <f>TEXT(Table4[OrderDate], "mmmm")</f>
        <v>February</v>
      </c>
      <c r="L406" s="2">
        <f>IF(C406 = "", 0, IF(COUNTIF($C$2:C406, C406) = 1, 1, 0))</f>
        <v>0</v>
      </c>
    </row>
    <row r="407" spans="1:12" x14ac:dyDescent="0.25">
      <c r="A407" s="2">
        <v>1406</v>
      </c>
      <c r="B407" s="21" t="s">
        <v>258</v>
      </c>
      <c r="C407" s="2" t="s">
        <v>367</v>
      </c>
      <c r="D407" s="2" t="s">
        <v>373</v>
      </c>
      <c r="E407" s="2" t="s">
        <v>384</v>
      </c>
      <c r="F407" s="2" t="s">
        <v>389</v>
      </c>
      <c r="G407" s="2">
        <v>3</v>
      </c>
      <c r="H407" s="2">
        <v>30000</v>
      </c>
      <c r="I407" s="2">
        <v>0.1</v>
      </c>
      <c r="J407" s="3">
        <f t="shared" si="7"/>
        <v>81000</v>
      </c>
      <c r="K407" s="2" t="str">
        <f>TEXT(Table4[OrderDate], "mmmm")</f>
        <v>May</v>
      </c>
      <c r="L407" s="2">
        <f>IF(C407 = "", 0, IF(COUNTIF($C$2:C407, C407) = 1, 1, 0))</f>
        <v>0</v>
      </c>
    </row>
    <row r="408" spans="1:12" x14ac:dyDescent="0.25">
      <c r="A408" s="2">
        <v>1407</v>
      </c>
      <c r="B408" s="21" t="s">
        <v>153</v>
      </c>
      <c r="C408" s="2" t="s">
        <v>358</v>
      </c>
      <c r="D408" s="2" t="s">
        <v>379</v>
      </c>
      <c r="E408" s="2" t="s">
        <v>381</v>
      </c>
      <c r="F408" s="2" t="s">
        <v>389</v>
      </c>
      <c r="G408" s="2">
        <v>2</v>
      </c>
      <c r="H408" s="2">
        <v>20000</v>
      </c>
      <c r="I408" s="2">
        <v>0.15</v>
      </c>
      <c r="J408" s="3">
        <f t="shared" si="7"/>
        <v>34000</v>
      </c>
      <c r="K408" s="2" t="str">
        <f>TEXT(Table4[OrderDate], "mmmm")</f>
        <v>May</v>
      </c>
      <c r="L408" s="2">
        <f>IF(C408 = "", 0, IF(COUNTIF($C$2:C408, C408) = 1, 1, 0))</f>
        <v>0</v>
      </c>
    </row>
    <row r="409" spans="1:12" x14ac:dyDescent="0.25">
      <c r="A409" s="2">
        <v>1408</v>
      </c>
      <c r="B409" s="21" t="s">
        <v>259</v>
      </c>
      <c r="C409" s="2" t="s">
        <v>357</v>
      </c>
      <c r="D409" s="2" t="s">
        <v>380</v>
      </c>
      <c r="E409" s="2" t="s">
        <v>388</v>
      </c>
      <c r="F409" s="2" t="s">
        <v>389</v>
      </c>
      <c r="G409" s="2">
        <v>1</v>
      </c>
      <c r="H409" s="2">
        <v>12000</v>
      </c>
      <c r="I409" s="2">
        <v>0.1</v>
      </c>
      <c r="J409" s="3">
        <f t="shared" si="7"/>
        <v>10800</v>
      </c>
      <c r="K409" s="2" t="str">
        <f>TEXT(Table4[OrderDate], "mmmm")</f>
        <v>May</v>
      </c>
      <c r="L409" s="2">
        <f>IF(C409 = "", 0, IF(COUNTIF($C$2:C409, C409) = 1, 1, 0))</f>
        <v>0</v>
      </c>
    </row>
    <row r="410" spans="1:12" x14ac:dyDescent="0.25">
      <c r="A410" s="2">
        <v>1409</v>
      </c>
      <c r="B410" s="21" t="s">
        <v>199</v>
      </c>
      <c r="C410" s="2" t="s">
        <v>370</v>
      </c>
      <c r="D410" s="2" t="s">
        <v>374</v>
      </c>
      <c r="E410" s="2" t="s">
        <v>387</v>
      </c>
      <c r="F410" s="2" t="s">
        <v>391</v>
      </c>
      <c r="G410" s="2">
        <v>4</v>
      </c>
      <c r="H410" s="2">
        <v>3000</v>
      </c>
      <c r="I410" s="2">
        <v>0</v>
      </c>
      <c r="J410" s="3">
        <f t="shared" si="7"/>
        <v>12000</v>
      </c>
      <c r="K410" s="2" t="str">
        <f>TEXT(Table4[OrderDate], "mmmm")</f>
        <v>March</v>
      </c>
      <c r="L410" s="2">
        <f>IF(C410 = "", 0, IF(COUNTIF($C$2:C410, C410) = 1, 1, 0))</f>
        <v>0</v>
      </c>
    </row>
    <row r="411" spans="1:12" x14ac:dyDescent="0.25">
      <c r="A411" s="2">
        <v>1410</v>
      </c>
      <c r="B411" s="21" t="s">
        <v>260</v>
      </c>
      <c r="C411" s="2" t="s">
        <v>363</v>
      </c>
      <c r="D411" s="2" t="s">
        <v>376</v>
      </c>
      <c r="E411" s="2" t="s">
        <v>383</v>
      </c>
      <c r="F411" s="2" t="s">
        <v>390</v>
      </c>
      <c r="G411" s="2">
        <v>3</v>
      </c>
      <c r="H411" s="2">
        <v>1500</v>
      </c>
      <c r="I411" s="2">
        <v>0.15</v>
      </c>
      <c r="J411" s="3">
        <f t="shared" si="7"/>
        <v>3825</v>
      </c>
      <c r="K411" s="2" t="str">
        <f>TEXT(Table4[OrderDate], "mmmm")</f>
        <v>June</v>
      </c>
      <c r="L411" s="2">
        <f>IF(C411 = "", 0, IF(COUNTIF($C$2:C411, C411) = 1, 1, 0))</f>
        <v>0</v>
      </c>
    </row>
    <row r="412" spans="1:12" x14ac:dyDescent="0.25">
      <c r="A412" s="2">
        <v>1493</v>
      </c>
      <c r="B412" s="21" t="s">
        <v>36</v>
      </c>
      <c r="C412" s="2" t="s">
        <v>372</v>
      </c>
      <c r="D412" s="2" t="s">
        <v>373</v>
      </c>
      <c r="E412" s="2" t="s">
        <v>381</v>
      </c>
      <c r="F412" s="2" t="s">
        <v>389</v>
      </c>
      <c r="G412" s="2">
        <v>5</v>
      </c>
      <c r="H412" s="2">
        <v>20000</v>
      </c>
      <c r="I412" s="2">
        <v>0.1</v>
      </c>
      <c r="J412" s="3">
        <f t="shared" si="7"/>
        <v>90000</v>
      </c>
      <c r="K412" s="2" t="str">
        <f>TEXT(Table4[OrderDate], "mmmm")</f>
        <v>March</v>
      </c>
      <c r="L412" s="2">
        <f>IF(C412 = "", 0, IF(COUNTIF($C$2:C412, C412) = 1, 1, 0))</f>
        <v>0</v>
      </c>
    </row>
    <row r="413" spans="1:12" x14ac:dyDescent="0.25">
      <c r="A413" s="2">
        <v>1412</v>
      </c>
      <c r="B413" s="21" t="s">
        <v>229</v>
      </c>
      <c r="C413" s="2" t="s">
        <v>366</v>
      </c>
      <c r="D413" s="2" t="s">
        <v>379</v>
      </c>
      <c r="E413" s="2" t="s">
        <v>388</v>
      </c>
      <c r="F413" s="2" t="s">
        <v>389</v>
      </c>
      <c r="G413" s="2">
        <v>3</v>
      </c>
      <c r="H413" s="2">
        <v>12000</v>
      </c>
      <c r="I413" s="2">
        <v>0.05</v>
      </c>
      <c r="J413" s="3">
        <f t="shared" si="7"/>
        <v>34200</v>
      </c>
      <c r="K413" s="2" t="str">
        <f>TEXT(Table4[OrderDate], "mmmm")</f>
        <v>July</v>
      </c>
      <c r="L413" s="2">
        <f>IF(C413 = "", 0, IF(COUNTIF($C$2:C413, C413) = 1, 1, 0))</f>
        <v>0</v>
      </c>
    </row>
    <row r="414" spans="1:12" x14ac:dyDescent="0.25">
      <c r="A414" s="2">
        <v>1514</v>
      </c>
      <c r="B414" s="21" t="s">
        <v>288</v>
      </c>
      <c r="C414" s="2" t="s">
        <v>359</v>
      </c>
      <c r="D414" s="2" t="s">
        <v>377</v>
      </c>
      <c r="E414" s="2" t="s">
        <v>381</v>
      </c>
      <c r="F414" s="2" t="s">
        <v>389</v>
      </c>
      <c r="G414" s="2">
        <v>5</v>
      </c>
      <c r="H414" s="2">
        <v>20000</v>
      </c>
      <c r="I414" s="2">
        <v>0.1</v>
      </c>
      <c r="J414" s="3">
        <f t="shared" si="7"/>
        <v>90000</v>
      </c>
      <c r="K414" s="2" t="str">
        <f>TEXT(Table4[OrderDate], "mmmm")</f>
        <v>February</v>
      </c>
      <c r="L414" s="2">
        <f>IF(C414 = "", 0, IF(COUNTIF($C$2:C414, C414) = 1, 1, 0))</f>
        <v>0</v>
      </c>
    </row>
    <row r="415" spans="1:12" x14ac:dyDescent="0.25">
      <c r="A415" s="2">
        <v>1414</v>
      </c>
      <c r="B415" s="21" t="s">
        <v>108</v>
      </c>
      <c r="C415" s="2" t="s">
        <v>371</v>
      </c>
      <c r="D415" s="2" t="s">
        <v>373</v>
      </c>
      <c r="E415" s="2" t="s">
        <v>383</v>
      </c>
      <c r="F415" s="2" t="s">
        <v>390</v>
      </c>
      <c r="G415" s="2">
        <v>3</v>
      </c>
      <c r="H415" s="2">
        <v>1500</v>
      </c>
      <c r="I415" s="2">
        <v>0</v>
      </c>
      <c r="J415" s="3">
        <f t="shared" si="7"/>
        <v>4500</v>
      </c>
      <c r="K415" s="2" t="str">
        <f>TEXT(Table4[OrderDate], "mmmm")</f>
        <v>October</v>
      </c>
      <c r="L415" s="2">
        <f>IF(C415 = "", 0, IF(COUNTIF($C$2:C415, C415) = 1, 1, 0))</f>
        <v>0</v>
      </c>
    </row>
    <row r="416" spans="1:12" x14ac:dyDescent="0.25">
      <c r="A416" s="2">
        <v>1415</v>
      </c>
      <c r="B416" s="21" t="s">
        <v>116</v>
      </c>
      <c r="C416" s="2" t="s">
        <v>370</v>
      </c>
      <c r="D416" s="2" t="s">
        <v>377</v>
      </c>
      <c r="E416" s="2" t="s">
        <v>382</v>
      </c>
      <c r="F416" s="2" t="s">
        <v>389</v>
      </c>
      <c r="G416" s="2">
        <v>4</v>
      </c>
      <c r="H416" s="2">
        <v>50000</v>
      </c>
      <c r="I416" s="2">
        <v>0.05</v>
      </c>
      <c r="J416" s="3">
        <f t="shared" si="7"/>
        <v>190000</v>
      </c>
      <c r="K416" s="2" t="str">
        <f>TEXT(Table4[OrderDate], "mmmm")</f>
        <v>August</v>
      </c>
      <c r="L416" s="2">
        <f>IF(C416 = "", 0, IF(COUNTIF($C$2:C416, C416) = 1, 1, 0))</f>
        <v>0</v>
      </c>
    </row>
    <row r="417" spans="1:12" x14ac:dyDescent="0.25">
      <c r="A417" s="2">
        <v>1416</v>
      </c>
      <c r="B417" s="21" t="s">
        <v>255</v>
      </c>
      <c r="C417" s="2" t="s">
        <v>370</v>
      </c>
      <c r="D417" s="2" t="s">
        <v>375</v>
      </c>
      <c r="E417" s="2" t="s">
        <v>383</v>
      </c>
      <c r="F417" s="2" t="s">
        <v>390</v>
      </c>
      <c r="G417" s="2">
        <v>4</v>
      </c>
      <c r="H417" s="2">
        <v>1500</v>
      </c>
      <c r="I417" s="2">
        <v>0.05</v>
      </c>
      <c r="J417" s="3">
        <f t="shared" si="7"/>
        <v>5700</v>
      </c>
      <c r="K417" s="2" t="str">
        <f>TEXT(Table4[OrderDate], "mmmm")</f>
        <v>November</v>
      </c>
      <c r="L417" s="2">
        <f>IF(C417 = "", 0, IF(COUNTIF($C$2:C417, C417) = 1, 1, 0))</f>
        <v>0</v>
      </c>
    </row>
    <row r="418" spans="1:12" x14ac:dyDescent="0.25">
      <c r="A418" s="2">
        <v>1417</v>
      </c>
      <c r="B418" s="21" t="s">
        <v>254</v>
      </c>
      <c r="C418" s="2" t="s">
        <v>365</v>
      </c>
      <c r="D418" s="2" t="s">
        <v>380</v>
      </c>
      <c r="E418" s="2" t="s">
        <v>386</v>
      </c>
      <c r="F418" s="2" t="s">
        <v>391</v>
      </c>
      <c r="G418" s="2">
        <v>2</v>
      </c>
      <c r="H418" s="2">
        <v>7000</v>
      </c>
      <c r="I418" s="2">
        <v>0.15</v>
      </c>
      <c r="J418" s="3">
        <f t="shared" si="7"/>
        <v>11900</v>
      </c>
      <c r="K418" s="2" t="str">
        <f>TEXT(Table4[OrderDate], "mmmm")</f>
        <v>July</v>
      </c>
      <c r="L418" s="2">
        <f>IF(C418 = "", 0, IF(COUNTIF($C$2:C418, C418) = 1, 1, 0))</f>
        <v>0</v>
      </c>
    </row>
    <row r="419" spans="1:12" x14ac:dyDescent="0.25">
      <c r="A419" s="2">
        <v>1613</v>
      </c>
      <c r="B419" s="21" t="s">
        <v>310</v>
      </c>
      <c r="C419" s="2" t="s">
        <v>361</v>
      </c>
      <c r="D419" s="2" t="s">
        <v>375</v>
      </c>
      <c r="E419" s="2" t="s">
        <v>381</v>
      </c>
      <c r="F419" s="2" t="s">
        <v>389</v>
      </c>
      <c r="G419" s="2">
        <v>5</v>
      </c>
      <c r="H419" s="2">
        <v>20000</v>
      </c>
      <c r="I419" s="2">
        <v>0.1</v>
      </c>
      <c r="J419" s="3">
        <f t="shared" si="7"/>
        <v>90000</v>
      </c>
      <c r="K419" s="2" t="str">
        <f>TEXT(Table4[OrderDate], "mmmm")</f>
        <v>August</v>
      </c>
      <c r="L419" s="2">
        <f>IF(C419 = "", 0, IF(COUNTIF($C$2:C419, C419) = 1, 1, 0))</f>
        <v>0</v>
      </c>
    </row>
    <row r="420" spans="1:12" x14ac:dyDescent="0.25">
      <c r="A420" s="2">
        <v>1639</v>
      </c>
      <c r="B420" s="21" t="s">
        <v>317</v>
      </c>
      <c r="C420" s="2" t="s">
        <v>371</v>
      </c>
      <c r="D420" s="2" t="s">
        <v>380</v>
      </c>
      <c r="E420" s="2" t="s">
        <v>381</v>
      </c>
      <c r="F420" s="2" t="s">
        <v>389</v>
      </c>
      <c r="G420" s="2">
        <v>5</v>
      </c>
      <c r="H420" s="2">
        <v>20000</v>
      </c>
      <c r="I420" s="2">
        <v>0.1</v>
      </c>
      <c r="J420" s="3">
        <f t="shared" si="7"/>
        <v>90000</v>
      </c>
      <c r="K420" s="2" t="str">
        <f>TEXT(Table4[OrderDate], "mmmm")</f>
        <v>September</v>
      </c>
      <c r="L420" s="2">
        <f>IF(C420 = "", 0, IF(COUNTIF($C$2:C420, C420) = 1, 1, 0))</f>
        <v>0</v>
      </c>
    </row>
    <row r="421" spans="1:12" x14ac:dyDescent="0.25">
      <c r="A421" s="2">
        <v>1708</v>
      </c>
      <c r="B421" s="21" t="s">
        <v>298</v>
      </c>
      <c r="C421" s="2" t="s">
        <v>357</v>
      </c>
      <c r="D421" s="2" t="s">
        <v>378</v>
      </c>
      <c r="E421" s="2" t="s">
        <v>381</v>
      </c>
      <c r="F421" s="2" t="s">
        <v>389</v>
      </c>
      <c r="G421" s="2">
        <v>5</v>
      </c>
      <c r="H421" s="2">
        <v>20000</v>
      </c>
      <c r="I421" s="2">
        <v>0.1</v>
      </c>
      <c r="J421" s="3">
        <f t="shared" si="7"/>
        <v>90000</v>
      </c>
      <c r="K421" s="2" t="str">
        <f>TEXT(Table4[OrderDate], "mmmm")</f>
        <v>July</v>
      </c>
      <c r="L421" s="2">
        <f>IF(C421 = "", 0, IF(COUNTIF($C$2:C421, C421) = 1, 1, 0))</f>
        <v>0</v>
      </c>
    </row>
    <row r="422" spans="1:12" x14ac:dyDescent="0.25">
      <c r="A422" s="2">
        <v>1421</v>
      </c>
      <c r="B422" s="21" t="s">
        <v>263</v>
      </c>
      <c r="C422" s="2" t="s">
        <v>360</v>
      </c>
      <c r="D422" s="2" t="s">
        <v>375</v>
      </c>
      <c r="E422" s="2" t="s">
        <v>383</v>
      </c>
      <c r="F422" s="2" t="s">
        <v>390</v>
      </c>
      <c r="G422" s="2">
        <v>1</v>
      </c>
      <c r="H422" s="2">
        <v>1500</v>
      </c>
      <c r="I422" s="2">
        <v>0</v>
      </c>
      <c r="J422" s="3">
        <f t="shared" si="7"/>
        <v>1500</v>
      </c>
      <c r="K422" s="2" t="str">
        <f>TEXT(Table4[OrderDate], "mmmm")</f>
        <v>February</v>
      </c>
      <c r="L422" s="2">
        <f>IF(C422 = "", 0, IF(COUNTIF($C$2:C422, C422) = 1, 1, 0))</f>
        <v>0</v>
      </c>
    </row>
    <row r="423" spans="1:12" x14ac:dyDescent="0.25">
      <c r="A423" s="2">
        <v>1422</v>
      </c>
      <c r="B423" s="21" t="s">
        <v>264</v>
      </c>
      <c r="C423" s="2" t="s">
        <v>363</v>
      </c>
      <c r="D423" s="2" t="s">
        <v>373</v>
      </c>
      <c r="E423" s="2" t="s">
        <v>387</v>
      </c>
      <c r="F423" s="2" t="s">
        <v>391</v>
      </c>
      <c r="G423" s="2">
        <v>4</v>
      </c>
      <c r="H423" s="2">
        <v>3000</v>
      </c>
      <c r="I423" s="2">
        <v>0.1</v>
      </c>
      <c r="J423" s="3">
        <f t="shared" si="7"/>
        <v>10800</v>
      </c>
      <c r="K423" s="2" t="str">
        <f>TEXT(Table4[OrderDate], "mmmm")</f>
        <v>July</v>
      </c>
      <c r="L423" s="2">
        <f>IF(C423 = "", 0, IF(COUNTIF($C$2:C423, C423) = 1, 1, 0))</f>
        <v>0</v>
      </c>
    </row>
    <row r="424" spans="1:12" x14ac:dyDescent="0.25">
      <c r="A424" s="2">
        <v>1423</v>
      </c>
      <c r="B424" s="21" t="s">
        <v>265</v>
      </c>
      <c r="C424" s="2" t="s">
        <v>370</v>
      </c>
      <c r="D424" s="2" t="s">
        <v>378</v>
      </c>
      <c r="E424" s="2" t="s">
        <v>385</v>
      </c>
      <c r="F424" s="2" t="s">
        <v>390</v>
      </c>
      <c r="G424" s="2">
        <v>1</v>
      </c>
      <c r="H424" s="2">
        <v>2000</v>
      </c>
      <c r="I424" s="2">
        <v>0.15</v>
      </c>
      <c r="J424" s="3">
        <f t="shared" si="7"/>
        <v>1700</v>
      </c>
      <c r="K424" s="2" t="str">
        <f>TEXT(Table4[OrderDate], "mmmm")</f>
        <v>February</v>
      </c>
      <c r="L424" s="2">
        <f>IF(C424 = "", 0, IF(COUNTIF($C$2:C424, C424) = 1, 1, 0))</f>
        <v>0</v>
      </c>
    </row>
    <row r="425" spans="1:12" x14ac:dyDescent="0.25">
      <c r="A425" s="2">
        <v>1424</v>
      </c>
      <c r="B425" s="21" t="s">
        <v>181</v>
      </c>
      <c r="C425" s="2" t="s">
        <v>370</v>
      </c>
      <c r="D425" s="2" t="s">
        <v>376</v>
      </c>
      <c r="E425" s="2" t="s">
        <v>381</v>
      </c>
      <c r="F425" s="2" t="s">
        <v>389</v>
      </c>
      <c r="G425" s="2">
        <v>1</v>
      </c>
      <c r="H425" s="2">
        <v>20000</v>
      </c>
      <c r="I425" s="2">
        <v>0.05</v>
      </c>
      <c r="J425" s="3">
        <f t="shared" si="7"/>
        <v>19000</v>
      </c>
      <c r="K425" s="2" t="str">
        <f>TEXT(Table4[OrderDate], "mmmm")</f>
        <v>June</v>
      </c>
      <c r="L425" s="2">
        <f>IF(C425 = "", 0, IF(COUNTIF($C$2:C425, C425) = 1, 1, 0))</f>
        <v>0</v>
      </c>
    </row>
    <row r="426" spans="1:12" x14ac:dyDescent="0.25">
      <c r="A426" s="2">
        <v>1425</v>
      </c>
      <c r="B426" s="21" t="s">
        <v>181</v>
      </c>
      <c r="C426" s="2" t="s">
        <v>367</v>
      </c>
      <c r="D426" s="2" t="s">
        <v>377</v>
      </c>
      <c r="E426" s="2" t="s">
        <v>388</v>
      </c>
      <c r="F426" s="2" t="s">
        <v>389</v>
      </c>
      <c r="G426" s="2">
        <v>2</v>
      </c>
      <c r="H426" s="2">
        <v>12000</v>
      </c>
      <c r="I426" s="2">
        <v>0.15</v>
      </c>
      <c r="J426" s="3">
        <f t="shared" si="7"/>
        <v>20400</v>
      </c>
      <c r="K426" s="2" t="str">
        <f>TEXT(Table4[OrderDate], "mmmm")</f>
        <v>June</v>
      </c>
      <c r="L426" s="2">
        <f>IF(C426 = "", 0, IF(COUNTIF($C$2:C426, C426) = 1, 1, 0))</f>
        <v>0</v>
      </c>
    </row>
    <row r="427" spans="1:12" x14ac:dyDescent="0.25">
      <c r="A427" s="2">
        <v>1426</v>
      </c>
      <c r="B427" s="21" t="s">
        <v>196</v>
      </c>
      <c r="C427" s="2" t="s">
        <v>370</v>
      </c>
      <c r="D427" s="2" t="s">
        <v>374</v>
      </c>
      <c r="E427" s="2" t="s">
        <v>388</v>
      </c>
      <c r="F427" s="2" t="s">
        <v>389</v>
      </c>
      <c r="G427" s="2">
        <v>4</v>
      </c>
      <c r="H427" s="2">
        <v>12000</v>
      </c>
      <c r="I427" s="2">
        <v>0.1</v>
      </c>
      <c r="J427" s="3">
        <f t="shared" si="7"/>
        <v>43200</v>
      </c>
      <c r="K427" s="2" t="str">
        <f>TEXT(Table4[OrderDate], "mmmm")</f>
        <v>February</v>
      </c>
      <c r="L427" s="2">
        <f>IF(C427 = "", 0, IF(COUNTIF($C$2:C427, C427) = 1, 1, 0))</f>
        <v>0</v>
      </c>
    </row>
    <row r="428" spans="1:12" x14ac:dyDescent="0.25">
      <c r="A428" s="2">
        <v>1427</v>
      </c>
      <c r="B428" s="21" t="s">
        <v>114</v>
      </c>
      <c r="C428" s="2" t="s">
        <v>362</v>
      </c>
      <c r="D428" s="2" t="s">
        <v>373</v>
      </c>
      <c r="E428" s="2" t="s">
        <v>381</v>
      </c>
      <c r="F428" s="2" t="s">
        <v>389</v>
      </c>
      <c r="G428" s="2">
        <v>1</v>
      </c>
      <c r="H428" s="2">
        <v>20000</v>
      </c>
      <c r="I428" s="2">
        <v>0.1</v>
      </c>
      <c r="J428" s="3">
        <f t="shared" si="7"/>
        <v>18000</v>
      </c>
      <c r="K428" s="2" t="str">
        <f>TEXT(Table4[OrderDate], "mmmm")</f>
        <v>November</v>
      </c>
      <c r="L428" s="2">
        <f>IF(C428 = "", 0, IF(COUNTIF($C$2:C428, C428) = 1, 1, 0))</f>
        <v>0</v>
      </c>
    </row>
    <row r="429" spans="1:12" x14ac:dyDescent="0.25">
      <c r="A429" s="2">
        <v>1994</v>
      </c>
      <c r="B429" s="21" t="s">
        <v>120</v>
      </c>
      <c r="C429" s="2" t="s">
        <v>370</v>
      </c>
      <c r="D429" s="2" t="s">
        <v>378</v>
      </c>
      <c r="E429" s="2" t="s">
        <v>381</v>
      </c>
      <c r="F429" s="2" t="s">
        <v>389</v>
      </c>
      <c r="G429" s="2">
        <v>5</v>
      </c>
      <c r="H429" s="2">
        <v>20000</v>
      </c>
      <c r="I429" s="2">
        <v>0.1</v>
      </c>
      <c r="J429" s="3">
        <f t="shared" si="7"/>
        <v>90000</v>
      </c>
      <c r="K429" s="2" t="str">
        <f>TEXT(Table4[OrderDate], "mmmm")</f>
        <v>June</v>
      </c>
      <c r="L429" s="2">
        <f>IF(C429 = "", 0, IF(COUNTIF($C$2:C429, C429) = 1, 1, 0))</f>
        <v>0</v>
      </c>
    </row>
    <row r="430" spans="1:12" x14ac:dyDescent="0.25">
      <c r="A430" s="2">
        <v>1429</v>
      </c>
      <c r="B430" s="21" t="s">
        <v>73</v>
      </c>
      <c r="C430" s="2" t="s">
        <v>369</v>
      </c>
      <c r="D430" s="2" t="s">
        <v>373</v>
      </c>
      <c r="E430" s="2" t="s">
        <v>383</v>
      </c>
      <c r="F430" s="2" t="s">
        <v>390</v>
      </c>
      <c r="G430" s="2">
        <v>4</v>
      </c>
      <c r="H430" s="2">
        <v>1500</v>
      </c>
      <c r="I430" s="2">
        <v>0.05</v>
      </c>
      <c r="J430" s="3">
        <f t="shared" si="7"/>
        <v>5700</v>
      </c>
      <c r="K430" s="2" t="str">
        <f>TEXT(Table4[OrderDate], "mmmm")</f>
        <v>July</v>
      </c>
      <c r="L430" s="2">
        <f>IF(C430 = "", 0, IF(COUNTIF($C$2:C430, C430) = 1, 1, 0))</f>
        <v>0</v>
      </c>
    </row>
    <row r="431" spans="1:12" x14ac:dyDescent="0.25">
      <c r="A431" s="2">
        <v>1430</v>
      </c>
      <c r="B431" s="21" t="s">
        <v>203</v>
      </c>
      <c r="C431" s="2" t="s">
        <v>371</v>
      </c>
      <c r="D431" s="2" t="s">
        <v>380</v>
      </c>
      <c r="E431" s="2" t="s">
        <v>383</v>
      </c>
      <c r="F431" s="2" t="s">
        <v>390</v>
      </c>
      <c r="G431" s="2">
        <v>4</v>
      </c>
      <c r="H431" s="2">
        <v>1500</v>
      </c>
      <c r="I431" s="2">
        <v>0</v>
      </c>
      <c r="J431" s="3">
        <f t="shared" si="7"/>
        <v>6000</v>
      </c>
      <c r="K431" s="2" t="str">
        <f>TEXT(Table4[OrderDate], "mmmm")</f>
        <v>November</v>
      </c>
      <c r="L431" s="2">
        <f>IF(C431 = "", 0, IF(COUNTIF($C$2:C431, C431) = 1, 1, 0))</f>
        <v>0</v>
      </c>
    </row>
    <row r="432" spans="1:12" x14ac:dyDescent="0.25">
      <c r="A432" s="2">
        <v>1431</v>
      </c>
      <c r="B432" s="21" t="s">
        <v>266</v>
      </c>
      <c r="C432" s="2" t="s">
        <v>371</v>
      </c>
      <c r="D432" s="2" t="s">
        <v>375</v>
      </c>
      <c r="E432" s="2" t="s">
        <v>383</v>
      </c>
      <c r="F432" s="2" t="s">
        <v>390</v>
      </c>
      <c r="G432" s="2">
        <v>4</v>
      </c>
      <c r="H432" s="2">
        <v>1500</v>
      </c>
      <c r="I432" s="2">
        <v>0</v>
      </c>
      <c r="J432" s="3">
        <f t="shared" si="7"/>
        <v>6000</v>
      </c>
      <c r="K432" s="2" t="str">
        <f>TEXT(Table4[OrderDate], "mmmm")</f>
        <v>December</v>
      </c>
      <c r="L432" s="2">
        <f>IF(C432 = "", 0, IF(COUNTIF($C$2:C432, C432) = 1, 1, 0))</f>
        <v>0</v>
      </c>
    </row>
    <row r="433" spans="1:12" x14ac:dyDescent="0.25">
      <c r="A433" s="2">
        <v>1432</v>
      </c>
      <c r="B433" s="21" t="s">
        <v>267</v>
      </c>
      <c r="C433" s="2" t="s">
        <v>369</v>
      </c>
      <c r="D433" s="2" t="s">
        <v>376</v>
      </c>
      <c r="E433" s="2" t="s">
        <v>386</v>
      </c>
      <c r="F433" s="2" t="s">
        <v>391</v>
      </c>
      <c r="G433" s="2">
        <v>1</v>
      </c>
      <c r="H433" s="2">
        <v>7000</v>
      </c>
      <c r="I433" s="2">
        <v>0</v>
      </c>
      <c r="J433" s="3">
        <f t="shared" si="7"/>
        <v>7000</v>
      </c>
      <c r="K433" s="2" t="str">
        <f>TEXT(Table4[OrderDate], "mmmm")</f>
        <v>October</v>
      </c>
      <c r="L433" s="2">
        <f>IF(C433 = "", 0, IF(COUNTIF($C$2:C433, C433) = 1, 1, 0))</f>
        <v>0</v>
      </c>
    </row>
    <row r="434" spans="1:12" x14ac:dyDescent="0.25">
      <c r="A434" s="2">
        <v>1433</v>
      </c>
      <c r="B434" s="21" t="s">
        <v>268</v>
      </c>
      <c r="C434" s="2" t="s">
        <v>360</v>
      </c>
      <c r="D434" s="2" t="s">
        <v>380</v>
      </c>
      <c r="E434" s="2" t="s">
        <v>385</v>
      </c>
      <c r="F434" s="2" t="s">
        <v>390</v>
      </c>
      <c r="G434" s="2">
        <v>2</v>
      </c>
      <c r="H434" s="2">
        <v>2000</v>
      </c>
      <c r="I434" s="2">
        <v>0.15</v>
      </c>
      <c r="J434" s="3">
        <f t="shared" si="7"/>
        <v>3400</v>
      </c>
      <c r="K434" s="2" t="str">
        <f>TEXT(Table4[OrderDate], "mmmm")</f>
        <v>February</v>
      </c>
      <c r="L434" s="2">
        <f>IF(C434 = "", 0, IF(COUNTIF($C$2:C434, C434) = 1, 1, 0))</f>
        <v>0</v>
      </c>
    </row>
    <row r="435" spans="1:12" x14ac:dyDescent="0.25">
      <c r="A435" s="2">
        <v>1347</v>
      </c>
      <c r="B435" s="21" t="s">
        <v>235</v>
      </c>
      <c r="C435" s="2" t="s">
        <v>363</v>
      </c>
      <c r="D435" s="2" t="s">
        <v>373</v>
      </c>
      <c r="E435" s="2" t="s">
        <v>381</v>
      </c>
      <c r="F435" s="2" t="s">
        <v>389</v>
      </c>
      <c r="G435" s="2">
        <v>5</v>
      </c>
      <c r="H435" s="2">
        <v>20000</v>
      </c>
      <c r="I435" s="2">
        <v>0.15</v>
      </c>
      <c r="J435" s="3">
        <f t="shared" si="7"/>
        <v>85000</v>
      </c>
      <c r="K435" s="2" t="str">
        <f>TEXT(Table4[OrderDate], "mmmm")</f>
        <v>January</v>
      </c>
      <c r="L435" s="2">
        <f>IF(C435 = "", 0, IF(COUNTIF($C$2:C435, C435) = 1, 1, 0))</f>
        <v>0</v>
      </c>
    </row>
    <row r="436" spans="1:12" x14ac:dyDescent="0.25">
      <c r="A436" s="2">
        <v>1435</v>
      </c>
      <c r="B436" s="21" t="s">
        <v>269</v>
      </c>
      <c r="C436" s="2" t="s">
        <v>369</v>
      </c>
      <c r="D436" s="2" t="s">
        <v>379</v>
      </c>
      <c r="E436" s="2" t="s">
        <v>385</v>
      </c>
      <c r="F436" s="2" t="s">
        <v>390</v>
      </c>
      <c r="G436" s="2">
        <v>3</v>
      </c>
      <c r="H436" s="2">
        <v>2000</v>
      </c>
      <c r="I436" s="2">
        <v>0.15</v>
      </c>
      <c r="J436" s="3">
        <f t="shared" si="7"/>
        <v>5100</v>
      </c>
      <c r="K436" s="2" t="str">
        <f>TEXT(Table4[OrderDate], "mmmm")</f>
        <v>November</v>
      </c>
      <c r="L436" s="2">
        <f>IF(C436 = "", 0, IF(COUNTIF($C$2:C436, C436) = 1, 1, 0))</f>
        <v>0</v>
      </c>
    </row>
    <row r="437" spans="1:12" x14ac:dyDescent="0.25">
      <c r="A437" s="2">
        <v>1436</v>
      </c>
      <c r="B437" s="21" t="s">
        <v>124</v>
      </c>
      <c r="C437" s="2" t="s">
        <v>357</v>
      </c>
      <c r="D437" s="2" t="s">
        <v>379</v>
      </c>
      <c r="E437" s="2" t="s">
        <v>381</v>
      </c>
      <c r="F437" s="2" t="s">
        <v>389</v>
      </c>
      <c r="G437" s="2">
        <v>2</v>
      </c>
      <c r="H437" s="2">
        <v>20000</v>
      </c>
      <c r="I437" s="2">
        <v>0.1</v>
      </c>
      <c r="J437" s="3">
        <f t="shared" si="7"/>
        <v>36000</v>
      </c>
      <c r="K437" s="2" t="str">
        <f>TEXT(Table4[OrderDate], "mmmm")</f>
        <v>March</v>
      </c>
      <c r="L437" s="2">
        <f>IF(C437 = "", 0, IF(COUNTIF($C$2:C437, C437) = 1, 1, 0))</f>
        <v>0</v>
      </c>
    </row>
    <row r="438" spans="1:12" x14ac:dyDescent="0.25">
      <c r="A438" s="2">
        <v>1437</v>
      </c>
      <c r="B438" s="21" t="s">
        <v>84</v>
      </c>
      <c r="C438" s="2" t="s">
        <v>361</v>
      </c>
      <c r="D438" s="2" t="s">
        <v>378</v>
      </c>
      <c r="E438" s="2" t="s">
        <v>381</v>
      </c>
      <c r="F438" s="2" t="s">
        <v>389</v>
      </c>
      <c r="G438" s="2">
        <v>2</v>
      </c>
      <c r="H438" s="2">
        <v>20000</v>
      </c>
      <c r="I438" s="2">
        <v>0.1</v>
      </c>
      <c r="J438" s="3">
        <f t="shared" si="7"/>
        <v>36000</v>
      </c>
      <c r="K438" s="2" t="str">
        <f>TEXT(Table4[OrderDate], "mmmm")</f>
        <v>December</v>
      </c>
      <c r="L438" s="2">
        <f>IF(C438 = "", 0, IF(COUNTIF($C$2:C438, C438) = 1, 1, 0))</f>
        <v>0</v>
      </c>
    </row>
    <row r="439" spans="1:12" x14ac:dyDescent="0.25">
      <c r="A439" s="2">
        <v>1758</v>
      </c>
      <c r="B439" s="21" t="s">
        <v>271</v>
      </c>
      <c r="C439" s="2" t="s">
        <v>359</v>
      </c>
      <c r="D439" s="2" t="s">
        <v>374</v>
      </c>
      <c r="E439" s="2" t="s">
        <v>381</v>
      </c>
      <c r="F439" s="2" t="s">
        <v>389</v>
      </c>
      <c r="G439" s="2">
        <v>5</v>
      </c>
      <c r="H439" s="2">
        <v>20000</v>
      </c>
      <c r="I439" s="2">
        <v>0.15</v>
      </c>
      <c r="J439" s="3">
        <f t="shared" si="7"/>
        <v>85000</v>
      </c>
      <c r="K439" s="2" t="str">
        <f>TEXT(Table4[OrderDate], "mmmm")</f>
        <v>June</v>
      </c>
      <c r="L439" s="2">
        <f>IF(C439 = "", 0, IF(COUNTIF($C$2:C439, C439) = 1, 1, 0))</f>
        <v>0</v>
      </c>
    </row>
    <row r="440" spans="1:12" x14ac:dyDescent="0.25">
      <c r="A440" s="2">
        <v>1439</v>
      </c>
      <c r="B440" s="21" t="s">
        <v>102</v>
      </c>
      <c r="C440" s="2" t="s">
        <v>369</v>
      </c>
      <c r="D440" s="2" t="s">
        <v>380</v>
      </c>
      <c r="E440" s="2" t="s">
        <v>384</v>
      </c>
      <c r="F440" s="2" t="s">
        <v>389</v>
      </c>
      <c r="G440" s="2">
        <v>4</v>
      </c>
      <c r="H440" s="2">
        <v>30000</v>
      </c>
      <c r="I440" s="2">
        <v>0.05</v>
      </c>
      <c r="J440" s="3">
        <f t="shared" si="7"/>
        <v>114000</v>
      </c>
      <c r="K440" s="2" t="str">
        <f>TEXT(Table4[OrderDate], "mmmm")</f>
        <v>October</v>
      </c>
      <c r="L440" s="2">
        <f>IF(C440 = "", 0, IF(COUNTIF($C$2:C440, C440) = 1, 1, 0))</f>
        <v>0</v>
      </c>
    </row>
    <row r="441" spans="1:12" x14ac:dyDescent="0.25">
      <c r="A441" s="2">
        <v>1440</v>
      </c>
      <c r="B441" s="21" t="s">
        <v>271</v>
      </c>
      <c r="C441" s="2" t="s">
        <v>363</v>
      </c>
      <c r="D441" s="2" t="s">
        <v>374</v>
      </c>
      <c r="E441" s="2" t="s">
        <v>386</v>
      </c>
      <c r="F441" s="2" t="s">
        <v>391</v>
      </c>
      <c r="G441" s="2">
        <v>2</v>
      </c>
      <c r="H441" s="2">
        <v>7000</v>
      </c>
      <c r="I441" s="2">
        <v>0.05</v>
      </c>
      <c r="J441" s="3">
        <f t="shared" si="7"/>
        <v>13300</v>
      </c>
      <c r="K441" s="2" t="str">
        <f>TEXT(Table4[OrderDate], "mmmm")</f>
        <v>June</v>
      </c>
      <c r="L441" s="2">
        <f>IF(C441 = "", 0, IF(COUNTIF($C$2:C441, C441) = 1, 1, 0))</f>
        <v>0</v>
      </c>
    </row>
    <row r="442" spans="1:12" x14ac:dyDescent="0.25">
      <c r="A442" s="2">
        <v>1441</v>
      </c>
      <c r="B442" s="21" t="s">
        <v>199</v>
      </c>
      <c r="C442" s="2" t="s">
        <v>371</v>
      </c>
      <c r="D442" s="2" t="s">
        <v>378</v>
      </c>
      <c r="E442" s="2" t="s">
        <v>385</v>
      </c>
      <c r="F442" s="2" t="s">
        <v>390</v>
      </c>
      <c r="G442" s="2">
        <v>1</v>
      </c>
      <c r="H442" s="2">
        <v>2000</v>
      </c>
      <c r="I442" s="2">
        <v>0.15</v>
      </c>
      <c r="J442" s="3">
        <f t="shared" si="7"/>
        <v>1700</v>
      </c>
      <c r="K442" s="2" t="str">
        <f>TEXT(Table4[OrderDate], "mmmm")</f>
        <v>March</v>
      </c>
      <c r="L442" s="2">
        <f>IF(C442 = "", 0, IF(COUNTIF($C$2:C442, C442) = 1, 1, 0))</f>
        <v>0</v>
      </c>
    </row>
    <row r="443" spans="1:12" x14ac:dyDescent="0.25">
      <c r="A443" s="2">
        <v>1442</v>
      </c>
      <c r="B443" s="21" t="s">
        <v>125</v>
      </c>
      <c r="C443" s="2" t="s">
        <v>363</v>
      </c>
      <c r="D443" s="2" t="s">
        <v>380</v>
      </c>
      <c r="E443" s="2" t="s">
        <v>388</v>
      </c>
      <c r="F443" s="2" t="s">
        <v>389</v>
      </c>
      <c r="G443" s="2">
        <v>4</v>
      </c>
      <c r="H443" s="2">
        <v>12000</v>
      </c>
      <c r="I443" s="2">
        <v>0.15</v>
      </c>
      <c r="J443" s="3">
        <f t="shared" si="7"/>
        <v>40800</v>
      </c>
      <c r="K443" s="2" t="str">
        <f>TEXT(Table4[OrderDate], "mmmm")</f>
        <v>July</v>
      </c>
      <c r="L443" s="2">
        <f>IF(C443 = "", 0, IF(COUNTIF($C$2:C443, C443) = 1, 1, 0))</f>
        <v>0</v>
      </c>
    </row>
    <row r="444" spans="1:12" x14ac:dyDescent="0.25">
      <c r="A444" s="2">
        <v>1443</v>
      </c>
      <c r="B444" s="21" t="s">
        <v>272</v>
      </c>
      <c r="C444" s="2" t="s">
        <v>370</v>
      </c>
      <c r="D444" s="2" t="s">
        <v>374</v>
      </c>
      <c r="E444" s="2" t="s">
        <v>384</v>
      </c>
      <c r="F444" s="2" t="s">
        <v>389</v>
      </c>
      <c r="G444" s="2">
        <v>1</v>
      </c>
      <c r="H444" s="2">
        <v>30000</v>
      </c>
      <c r="I444" s="2">
        <v>0</v>
      </c>
      <c r="J444" s="3">
        <f t="shared" si="7"/>
        <v>30000</v>
      </c>
      <c r="K444" s="2" t="str">
        <f>TEXT(Table4[OrderDate], "mmmm")</f>
        <v>April</v>
      </c>
      <c r="L444" s="2">
        <f>IF(C444 = "", 0, IF(COUNTIF($C$2:C444, C444) = 1, 1, 0))</f>
        <v>0</v>
      </c>
    </row>
    <row r="445" spans="1:12" x14ac:dyDescent="0.25">
      <c r="A445" s="2">
        <v>1444</v>
      </c>
      <c r="B445" s="21" t="s">
        <v>250</v>
      </c>
      <c r="C445" s="2" t="s">
        <v>363</v>
      </c>
      <c r="D445" s="2" t="s">
        <v>380</v>
      </c>
      <c r="E445" s="2" t="s">
        <v>386</v>
      </c>
      <c r="F445" s="2" t="s">
        <v>391</v>
      </c>
      <c r="G445" s="2">
        <v>2</v>
      </c>
      <c r="H445" s="2">
        <v>7000</v>
      </c>
      <c r="I445" s="2">
        <v>0.1</v>
      </c>
      <c r="J445" s="3">
        <f t="shared" si="7"/>
        <v>12600</v>
      </c>
      <c r="K445" s="2" t="str">
        <f>TEXT(Table4[OrderDate], "mmmm")</f>
        <v>March</v>
      </c>
      <c r="L445" s="2">
        <f>IF(C445 = "", 0, IF(COUNTIF($C$2:C445, C445) = 1, 1, 0))</f>
        <v>0</v>
      </c>
    </row>
    <row r="446" spans="1:12" x14ac:dyDescent="0.25">
      <c r="A446" s="2">
        <v>1816</v>
      </c>
      <c r="B446" s="21" t="s">
        <v>340</v>
      </c>
      <c r="C446" s="2" t="s">
        <v>367</v>
      </c>
      <c r="D446" s="2" t="s">
        <v>373</v>
      </c>
      <c r="E446" s="2" t="s">
        <v>381</v>
      </c>
      <c r="F446" s="2" t="s">
        <v>389</v>
      </c>
      <c r="G446" s="2">
        <v>5</v>
      </c>
      <c r="H446" s="2">
        <v>20000</v>
      </c>
      <c r="I446" s="2">
        <v>0.15</v>
      </c>
      <c r="J446" s="3">
        <f t="shared" si="7"/>
        <v>85000</v>
      </c>
      <c r="K446" s="2" t="str">
        <f>TEXT(Table4[OrderDate], "mmmm")</f>
        <v>April</v>
      </c>
      <c r="L446" s="2">
        <f>IF(C446 = "", 0, IF(COUNTIF($C$2:C446, C446) = 1, 1, 0))</f>
        <v>0</v>
      </c>
    </row>
    <row r="447" spans="1:12" x14ac:dyDescent="0.25">
      <c r="A447" s="2">
        <v>1887</v>
      </c>
      <c r="B447" s="21" t="s">
        <v>75</v>
      </c>
      <c r="C447" s="2" t="s">
        <v>369</v>
      </c>
      <c r="D447" s="2" t="s">
        <v>378</v>
      </c>
      <c r="E447" s="2" t="s">
        <v>381</v>
      </c>
      <c r="F447" s="2" t="s">
        <v>389</v>
      </c>
      <c r="G447" s="2">
        <v>5</v>
      </c>
      <c r="H447" s="2">
        <v>20000</v>
      </c>
      <c r="I447" s="2">
        <v>0.15</v>
      </c>
      <c r="J447" s="3">
        <f t="shared" si="7"/>
        <v>85000</v>
      </c>
      <c r="K447" s="2" t="str">
        <f>TEXT(Table4[OrderDate], "mmmm")</f>
        <v>September</v>
      </c>
      <c r="L447" s="2">
        <f>IF(C447 = "", 0, IF(COUNTIF($C$2:C447, C447) = 1, 1, 0))</f>
        <v>0</v>
      </c>
    </row>
    <row r="448" spans="1:12" x14ac:dyDescent="0.25">
      <c r="A448" s="2">
        <v>1447</v>
      </c>
      <c r="B448" s="21" t="s">
        <v>274</v>
      </c>
      <c r="C448" s="2" t="s">
        <v>364</v>
      </c>
      <c r="D448" s="2" t="s">
        <v>377</v>
      </c>
      <c r="E448" s="2" t="s">
        <v>386</v>
      </c>
      <c r="F448" s="2" t="s">
        <v>391</v>
      </c>
      <c r="G448" s="2">
        <v>1</v>
      </c>
      <c r="H448" s="2">
        <v>7000</v>
      </c>
      <c r="I448" s="2">
        <v>0.15</v>
      </c>
      <c r="J448" s="3">
        <f t="shared" si="7"/>
        <v>5950</v>
      </c>
      <c r="K448" s="2" t="str">
        <f>TEXT(Table4[OrderDate], "mmmm")</f>
        <v>May</v>
      </c>
      <c r="L448" s="2">
        <f>IF(C448 = "", 0, IF(COUNTIF($C$2:C448, C448) = 1, 1, 0))</f>
        <v>0</v>
      </c>
    </row>
    <row r="449" spans="1:12" x14ac:dyDescent="0.25">
      <c r="A449" s="2">
        <v>1448</v>
      </c>
      <c r="B449" s="21" t="s">
        <v>275</v>
      </c>
      <c r="C449" s="2" t="s">
        <v>364</v>
      </c>
      <c r="D449" s="2" t="s">
        <v>378</v>
      </c>
      <c r="E449" s="2" t="s">
        <v>388</v>
      </c>
      <c r="F449" s="2" t="s">
        <v>389</v>
      </c>
      <c r="G449" s="2">
        <v>1</v>
      </c>
      <c r="H449" s="2">
        <v>12000</v>
      </c>
      <c r="I449" s="2">
        <v>0.05</v>
      </c>
      <c r="J449" s="3">
        <f t="shared" si="7"/>
        <v>11400</v>
      </c>
      <c r="K449" s="2" t="str">
        <f>TEXT(Table4[OrderDate], "mmmm")</f>
        <v>April</v>
      </c>
      <c r="L449" s="2">
        <f>IF(C449 = "", 0, IF(COUNTIF($C$2:C449, C449) = 1, 1, 0))</f>
        <v>0</v>
      </c>
    </row>
    <row r="450" spans="1:12" x14ac:dyDescent="0.25">
      <c r="A450" s="2">
        <v>1942</v>
      </c>
      <c r="B450" s="21" t="s">
        <v>262</v>
      </c>
      <c r="C450" s="2" t="s">
        <v>362</v>
      </c>
      <c r="D450" s="2" t="s">
        <v>380</v>
      </c>
      <c r="E450" s="2" t="s">
        <v>381</v>
      </c>
      <c r="F450" s="2" t="s">
        <v>389</v>
      </c>
      <c r="G450" s="2">
        <v>5</v>
      </c>
      <c r="H450" s="2">
        <v>20000</v>
      </c>
      <c r="I450" s="2">
        <v>0.15</v>
      </c>
      <c r="J450" s="3">
        <f t="shared" ref="J450:J513" si="8">H450*(1-I450)*G450</f>
        <v>85000</v>
      </c>
      <c r="K450" s="2" t="str">
        <f>TEXT(Table4[OrderDate], "mmmm")</f>
        <v>June</v>
      </c>
      <c r="L450" s="2">
        <f>IF(C450 = "", 0, IF(COUNTIF($C$2:C450, C450) = 1, 1, 0))</f>
        <v>0</v>
      </c>
    </row>
    <row r="451" spans="1:12" x14ac:dyDescent="0.25">
      <c r="A451" s="2">
        <v>1076</v>
      </c>
      <c r="B451" s="21" t="s">
        <v>77</v>
      </c>
      <c r="C451" s="2" t="s">
        <v>358</v>
      </c>
      <c r="D451" s="2" t="s">
        <v>375</v>
      </c>
      <c r="E451" s="2" t="s">
        <v>388</v>
      </c>
      <c r="F451" s="2" t="s">
        <v>389</v>
      </c>
      <c r="G451" s="2">
        <v>5</v>
      </c>
      <c r="H451" s="2">
        <v>12000</v>
      </c>
      <c r="I451" s="2">
        <v>0</v>
      </c>
      <c r="J451" s="3">
        <f t="shared" si="8"/>
        <v>60000</v>
      </c>
      <c r="K451" s="2" t="str">
        <f>TEXT(Table4[OrderDate], "mmmm")</f>
        <v>August</v>
      </c>
      <c r="L451" s="2">
        <f>IF(C451 = "", 0, IF(COUNTIF($C$2:C451, C451) = 1, 1, 0))</f>
        <v>0</v>
      </c>
    </row>
    <row r="452" spans="1:12" x14ac:dyDescent="0.25">
      <c r="A452" s="2">
        <v>1451</v>
      </c>
      <c r="B452" s="21" t="s">
        <v>217</v>
      </c>
      <c r="C452" s="2" t="s">
        <v>362</v>
      </c>
      <c r="D452" s="2" t="s">
        <v>373</v>
      </c>
      <c r="E452" s="2" t="s">
        <v>386</v>
      </c>
      <c r="F452" s="2" t="s">
        <v>391</v>
      </c>
      <c r="G452" s="2">
        <v>3</v>
      </c>
      <c r="H452" s="2">
        <v>7000</v>
      </c>
      <c r="I452" s="2">
        <v>0.1</v>
      </c>
      <c r="J452" s="3">
        <f t="shared" si="8"/>
        <v>18900</v>
      </c>
      <c r="K452" s="2" t="str">
        <f>TEXT(Table4[OrderDate], "mmmm")</f>
        <v>September</v>
      </c>
      <c r="L452" s="2">
        <f>IF(C452 = "", 0, IF(COUNTIF($C$2:C452, C452) = 1, 1, 0))</f>
        <v>0</v>
      </c>
    </row>
    <row r="453" spans="1:12" x14ac:dyDescent="0.25">
      <c r="A453" s="2">
        <v>1452</v>
      </c>
      <c r="B453" s="21" t="s">
        <v>227</v>
      </c>
      <c r="C453" s="2" t="s">
        <v>361</v>
      </c>
      <c r="D453" s="2" t="s">
        <v>373</v>
      </c>
      <c r="E453" s="2" t="s">
        <v>383</v>
      </c>
      <c r="F453" s="2" t="s">
        <v>390</v>
      </c>
      <c r="G453" s="2">
        <v>1</v>
      </c>
      <c r="H453" s="2">
        <v>1500</v>
      </c>
      <c r="I453" s="2">
        <v>0.1</v>
      </c>
      <c r="J453" s="3">
        <f t="shared" si="8"/>
        <v>1350</v>
      </c>
      <c r="K453" s="2" t="str">
        <f>TEXT(Table4[OrderDate], "mmmm")</f>
        <v>December</v>
      </c>
      <c r="L453" s="2">
        <f>IF(C453 = "", 0, IF(COUNTIF($C$2:C453, C453) = 1, 1, 0))</f>
        <v>0</v>
      </c>
    </row>
    <row r="454" spans="1:12" x14ac:dyDescent="0.25">
      <c r="A454" s="2">
        <v>1453</v>
      </c>
      <c r="B454" s="21" t="s">
        <v>81</v>
      </c>
      <c r="C454" s="2" t="s">
        <v>368</v>
      </c>
      <c r="D454" s="2" t="s">
        <v>380</v>
      </c>
      <c r="E454" s="2" t="s">
        <v>387</v>
      </c>
      <c r="F454" s="2" t="s">
        <v>391</v>
      </c>
      <c r="G454" s="2">
        <v>2</v>
      </c>
      <c r="H454" s="2">
        <v>3000</v>
      </c>
      <c r="I454" s="2">
        <v>0.1</v>
      </c>
      <c r="J454" s="3">
        <f t="shared" si="8"/>
        <v>5400</v>
      </c>
      <c r="K454" s="2" t="str">
        <f>TEXT(Table4[OrderDate], "mmmm")</f>
        <v>May</v>
      </c>
      <c r="L454" s="2">
        <f>IF(C454 = "", 0, IF(COUNTIF($C$2:C454, C454) = 1, 1, 0))</f>
        <v>0</v>
      </c>
    </row>
    <row r="455" spans="1:12" x14ac:dyDescent="0.25">
      <c r="A455" s="2">
        <v>1701</v>
      </c>
      <c r="B455" s="21" t="s">
        <v>229</v>
      </c>
      <c r="C455" s="2" t="s">
        <v>364</v>
      </c>
      <c r="D455" s="2" t="s">
        <v>374</v>
      </c>
      <c r="E455" s="2" t="s">
        <v>388</v>
      </c>
      <c r="F455" s="2" t="s">
        <v>389</v>
      </c>
      <c r="G455" s="2">
        <v>5</v>
      </c>
      <c r="H455" s="2">
        <v>12000</v>
      </c>
      <c r="I455" s="2">
        <v>0</v>
      </c>
      <c r="J455" s="3">
        <f t="shared" si="8"/>
        <v>60000</v>
      </c>
      <c r="K455" s="2" t="str">
        <f>TEXT(Table4[OrderDate], "mmmm")</f>
        <v>July</v>
      </c>
      <c r="L455" s="2">
        <f>IF(C455 = "", 0, IF(COUNTIF($C$2:C455, C455) = 1, 1, 0))</f>
        <v>0</v>
      </c>
    </row>
    <row r="456" spans="1:12" x14ac:dyDescent="0.25">
      <c r="A456" s="2">
        <v>1455</v>
      </c>
      <c r="B456" s="21" t="s">
        <v>121</v>
      </c>
      <c r="C456" s="2" t="s">
        <v>360</v>
      </c>
      <c r="D456" s="2" t="s">
        <v>376</v>
      </c>
      <c r="E456" s="2" t="s">
        <v>388</v>
      </c>
      <c r="F456" s="2" t="s">
        <v>389</v>
      </c>
      <c r="G456" s="2">
        <v>1</v>
      </c>
      <c r="H456" s="2">
        <v>12000</v>
      </c>
      <c r="I456" s="2">
        <v>0</v>
      </c>
      <c r="J456" s="3">
        <f t="shared" si="8"/>
        <v>12000</v>
      </c>
      <c r="K456" s="2" t="str">
        <f>TEXT(Table4[OrderDate], "mmmm")</f>
        <v>July</v>
      </c>
      <c r="L456" s="2">
        <f>IF(C456 = "", 0, IF(COUNTIF($C$2:C456, C456) = 1, 1, 0))</f>
        <v>0</v>
      </c>
    </row>
    <row r="457" spans="1:12" x14ac:dyDescent="0.25">
      <c r="A457" s="2">
        <v>1456</v>
      </c>
      <c r="B457" s="21" t="s">
        <v>278</v>
      </c>
      <c r="C457" s="2" t="s">
        <v>359</v>
      </c>
      <c r="D457" s="2" t="s">
        <v>377</v>
      </c>
      <c r="E457" s="2" t="s">
        <v>388</v>
      </c>
      <c r="F457" s="2" t="s">
        <v>389</v>
      </c>
      <c r="G457" s="2">
        <v>4</v>
      </c>
      <c r="H457" s="2">
        <v>12000</v>
      </c>
      <c r="I457" s="2">
        <v>0.1</v>
      </c>
      <c r="J457" s="3">
        <f t="shared" si="8"/>
        <v>43200</v>
      </c>
      <c r="K457" s="2" t="str">
        <f>TEXT(Table4[OrderDate], "mmmm")</f>
        <v>October</v>
      </c>
      <c r="L457" s="2">
        <f>IF(C457 = "", 0, IF(COUNTIF($C$2:C457, C457) = 1, 1, 0))</f>
        <v>0</v>
      </c>
    </row>
    <row r="458" spans="1:12" x14ac:dyDescent="0.25">
      <c r="A458" s="2">
        <v>1457</v>
      </c>
      <c r="B458" s="21" t="s">
        <v>228</v>
      </c>
      <c r="C458" s="2" t="s">
        <v>368</v>
      </c>
      <c r="D458" s="2" t="s">
        <v>375</v>
      </c>
      <c r="E458" s="2" t="s">
        <v>388</v>
      </c>
      <c r="F458" s="2" t="s">
        <v>389</v>
      </c>
      <c r="G458" s="2">
        <v>3</v>
      </c>
      <c r="H458" s="2">
        <v>12000</v>
      </c>
      <c r="I458" s="2">
        <v>0</v>
      </c>
      <c r="J458" s="3">
        <f t="shared" si="8"/>
        <v>36000</v>
      </c>
      <c r="K458" s="2" t="str">
        <f>TEXT(Table4[OrderDate], "mmmm")</f>
        <v>September</v>
      </c>
      <c r="L458" s="2">
        <f>IF(C458 = "", 0, IF(COUNTIF($C$2:C458, C458) = 1, 1, 0))</f>
        <v>0</v>
      </c>
    </row>
    <row r="459" spans="1:12" x14ac:dyDescent="0.25">
      <c r="A459" s="2">
        <v>1458</v>
      </c>
      <c r="B459" s="21" t="s">
        <v>258</v>
      </c>
      <c r="C459" s="2" t="s">
        <v>366</v>
      </c>
      <c r="D459" s="2" t="s">
        <v>379</v>
      </c>
      <c r="E459" s="2" t="s">
        <v>383</v>
      </c>
      <c r="F459" s="2" t="s">
        <v>390</v>
      </c>
      <c r="G459" s="2">
        <v>2</v>
      </c>
      <c r="H459" s="2">
        <v>1500</v>
      </c>
      <c r="I459" s="2">
        <v>0.15</v>
      </c>
      <c r="J459" s="3">
        <f t="shared" si="8"/>
        <v>2550</v>
      </c>
      <c r="K459" s="2" t="str">
        <f>TEXT(Table4[OrderDate], "mmmm")</f>
        <v>May</v>
      </c>
      <c r="L459" s="2">
        <f>IF(C459 = "", 0, IF(COUNTIF($C$2:C459, C459) = 1, 1, 0))</f>
        <v>0</v>
      </c>
    </row>
    <row r="460" spans="1:12" x14ac:dyDescent="0.25">
      <c r="A460" s="2">
        <v>1746</v>
      </c>
      <c r="B460" s="21" t="s">
        <v>313</v>
      </c>
      <c r="C460" s="2" t="s">
        <v>362</v>
      </c>
      <c r="D460" s="2" t="s">
        <v>379</v>
      </c>
      <c r="E460" s="2" t="s">
        <v>388</v>
      </c>
      <c r="F460" s="2" t="s">
        <v>389</v>
      </c>
      <c r="G460" s="2">
        <v>5</v>
      </c>
      <c r="H460" s="2">
        <v>12000</v>
      </c>
      <c r="I460" s="2">
        <v>0</v>
      </c>
      <c r="J460" s="3">
        <f t="shared" si="8"/>
        <v>60000</v>
      </c>
      <c r="K460" s="2" t="str">
        <f>TEXT(Table4[OrderDate], "mmmm")</f>
        <v>September</v>
      </c>
      <c r="L460" s="2">
        <f>IF(C460 = "", 0, IF(COUNTIF($C$2:C460, C460) = 1, 1, 0))</f>
        <v>0</v>
      </c>
    </row>
    <row r="461" spans="1:12" x14ac:dyDescent="0.25">
      <c r="A461" s="2">
        <v>1460</v>
      </c>
      <c r="B461" s="21" t="s">
        <v>113</v>
      </c>
      <c r="C461" s="2" t="s">
        <v>363</v>
      </c>
      <c r="D461" s="2" t="s">
        <v>374</v>
      </c>
      <c r="E461" s="2" t="s">
        <v>382</v>
      </c>
      <c r="F461" s="2" t="s">
        <v>389</v>
      </c>
      <c r="G461" s="2">
        <v>1</v>
      </c>
      <c r="H461" s="2">
        <v>50000</v>
      </c>
      <c r="I461" s="2">
        <v>0</v>
      </c>
      <c r="J461" s="3">
        <f t="shared" si="8"/>
        <v>50000</v>
      </c>
      <c r="K461" s="2" t="str">
        <f>TEXT(Table4[OrderDate], "mmmm")</f>
        <v>November</v>
      </c>
      <c r="L461" s="2">
        <f>IF(C461 = "", 0, IF(COUNTIF($C$2:C461, C461) = 1, 1, 0))</f>
        <v>0</v>
      </c>
    </row>
    <row r="462" spans="1:12" x14ac:dyDescent="0.25">
      <c r="A462" s="2">
        <v>1461</v>
      </c>
      <c r="B462" s="21" t="s">
        <v>77</v>
      </c>
      <c r="C462" s="2" t="s">
        <v>359</v>
      </c>
      <c r="D462" s="2" t="s">
        <v>378</v>
      </c>
      <c r="E462" s="2" t="s">
        <v>381</v>
      </c>
      <c r="F462" s="2" t="s">
        <v>389</v>
      </c>
      <c r="G462" s="2">
        <v>2</v>
      </c>
      <c r="H462" s="2">
        <v>20000</v>
      </c>
      <c r="I462" s="2">
        <v>0.15</v>
      </c>
      <c r="J462" s="3">
        <f t="shared" si="8"/>
        <v>34000</v>
      </c>
      <c r="K462" s="2" t="str">
        <f>TEXT(Table4[OrderDate], "mmmm")</f>
        <v>August</v>
      </c>
      <c r="L462" s="2">
        <f>IF(C462 = "", 0, IF(COUNTIF($C$2:C462, C462) = 1, 1, 0))</f>
        <v>0</v>
      </c>
    </row>
    <row r="463" spans="1:12" x14ac:dyDescent="0.25">
      <c r="A463" s="2">
        <v>1462</v>
      </c>
      <c r="B463" s="21" t="s">
        <v>279</v>
      </c>
      <c r="C463" s="2" t="s">
        <v>360</v>
      </c>
      <c r="D463" s="2" t="s">
        <v>377</v>
      </c>
      <c r="E463" s="2" t="s">
        <v>387</v>
      </c>
      <c r="F463" s="2" t="s">
        <v>391</v>
      </c>
      <c r="G463" s="2">
        <v>2</v>
      </c>
      <c r="H463" s="2">
        <v>3000</v>
      </c>
      <c r="I463" s="2">
        <v>0.1</v>
      </c>
      <c r="J463" s="3">
        <f t="shared" si="8"/>
        <v>5400</v>
      </c>
      <c r="K463" s="2" t="str">
        <f>TEXT(Table4[OrderDate], "mmmm")</f>
        <v>March</v>
      </c>
      <c r="L463" s="2">
        <f>IF(C463 = "", 0, IF(COUNTIF($C$2:C463, C463) = 1, 1, 0))</f>
        <v>0</v>
      </c>
    </row>
    <row r="464" spans="1:12" x14ac:dyDescent="0.25">
      <c r="A464" s="2">
        <v>1463</v>
      </c>
      <c r="B464" s="21" t="s">
        <v>192</v>
      </c>
      <c r="C464" s="2" t="s">
        <v>369</v>
      </c>
      <c r="D464" s="2" t="s">
        <v>374</v>
      </c>
      <c r="E464" s="2" t="s">
        <v>385</v>
      </c>
      <c r="F464" s="2" t="s">
        <v>390</v>
      </c>
      <c r="G464" s="2">
        <v>3</v>
      </c>
      <c r="H464" s="2">
        <v>2000</v>
      </c>
      <c r="I464" s="2">
        <v>0</v>
      </c>
      <c r="J464" s="3">
        <f t="shared" si="8"/>
        <v>6000</v>
      </c>
      <c r="K464" s="2" t="str">
        <f>TEXT(Table4[OrderDate], "mmmm")</f>
        <v>July</v>
      </c>
      <c r="L464" s="2">
        <f>IF(C464 = "", 0, IF(COUNTIF($C$2:C464, C464) = 1, 1, 0))</f>
        <v>0</v>
      </c>
    </row>
    <row r="465" spans="1:12" x14ac:dyDescent="0.25">
      <c r="A465" s="2">
        <v>1464</v>
      </c>
      <c r="B465" s="21" t="s">
        <v>167</v>
      </c>
      <c r="C465" s="2" t="s">
        <v>365</v>
      </c>
      <c r="D465" s="2" t="s">
        <v>377</v>
      </c>
      <c r="E465" s="2" t="s">
        <v>383</v>
      </c>
      <c r="F465" s="2" t="s">
        <v>390</v>
      </c>
      <c r="G465" s="2">
        <v>3</v>
      </c>
      <c r="H465" s="2">
        <v>1500</v>
      </c>
      <c r="I465" s="2">
        <v>0.05</v>
      </c>
      <c r="J465" s="3">
        <f t="shared" si="8"/>
        <v>4275</v>
      </c>
      <c r="K465" s="2" t="str">
        <f>TEXT(Table4[OrderDate], "mmmm")</f>
        <v>August</v>
      </c>
      <c r="L465" s="2">
        <f>IF(C465 = "", 0, IF(COUNTIF($C$2:C465, C465) = 1, 1, 0))</f>
        <v>0</v>
      </c>
    </row>
    <row r="466" spans="1:12" x14ac:dyDescent="0.25">
      <c r="A466" s="2">
        <v>1465</v>
      </c>
      <c r="B466" s="21" t="s">
        <v>82</v>
      </c>
      <c r="C466" s="2" t="s">
        <v>361</v>
      </c>
      <c r="D466" s="2" t="s">
        <v>375</v>
      </c>
      <c r="E466" s="2" t="s">
        <v>382</v>
      </c>
      <c r="F466" s="2" t="s">
        <v>389</v>
      </c>
      <c r="G466" s="2">
        <v>2</v>
      </c>
      <c r="H466" s="2">
        <v>50000</v>
      </c>
      <c r="I466" s="2">
        <v>0.15</v>
      </c>
      <c r="J466" s="3">
        <f t="shared" si="8"/>
        <v>85000</v>
      </c>
      <c r="K466" s="2" t="str">
        <f>TEXT(Table4[OrderDate], "mmmm")</f>
        <v>February</v>
      </c>
      <c r="L466" s="2">
        <f>IF(C466 = "", 0, IF(COUNTIF($C$2:C466, C466) = 1, 1, 0))</f>
        <v>0</v>
      </c>
    </row>
    <row r="467" spans="1:12" x14ac:dyDescent="0.25">
      <c r="A467" s="2">
        <v>1466</v>
      </c>
      <c r="B467" s="21" t="s">
        <v>280</v>
      </c>
      <c r="C467" s="2" t="s">
        <v>366</v>
      </c>
      <c r="D467" s="2" t="s">
        <v>377</v>
      </c>
      <c r="E467" s="2" t="s">
        <v>388</v>
      </c>
      <c r="F467" s="2" t="s">
        <v>389</v>
      </c>
      <c r="G467" s="2">
        <v>1</v>
      </c>
      <c r="H467" s="2">
        <v>12000</v>
      </c>
      <c r="I467" s="2">
        <v>0</v>
      </c>
      <c r="J467" s="3">
        <f t="shared" si="8"/>
        <v>12000</v>
      </c>
      <c r="K467" s="2" t="str">
        <f>TEXT(Table4[OrderDate], "mmmm")</f>
        <v>December</v>
      </c>
      <c r="L467" s="2">
        <f>IF(C467 = "", 0, IF(COUNTIF($C$2:C467, C467) = 1, 1, 0))</f>
        <v>0</v>
      </c>
    </row>
    <row r="468" spans="1:12" x14ac:dyDescent="0.25">
      <c r="A468" s="2">
        <v>1467</v>
      </c>
      <c r="B468" s="21" t="s">
        <v>281</v>
      </c>
      <c r="C468" s="2" t="s">
        <v>357</v>
      </c>
      <c r="D468" s="2" t="s">
        <v>378</v>
      </c>
      <c r="E468" s="2" t="s">
        <v>383</v>
      </c>
      <c r="F468" s="2" t="s">
        <v>390</v>
      </c>
      <c r="G468" s="2">
        <v>2</v>
      </c>
      <c r="H468" s="2">
        <v>1500</v>
      </c>
      <c r="I468" s="2">
        <v>0.15</v>
      </c>
      <c r="J468" s="3">
        <f t="shared" si="8"/>
        <v>2550</v>
      </c>
      <c r="K468" s="2" t="str">
        <f>TEXT(Table4[OrderDate], "mmmm")</f>
        <v>February</v>
      </c>
      <c r="L468" s="2">
        <f>IF(C468 = "", 0, IF(COUNTIF($C$2:C468, C468) = 1, 1, 0))</f>
        <v>0</v>
      </c>
    </row>
    <row r="469" spans="1:12" x14ac:dyDescent="0.25">
      <c r="A469" s="2">
        <v>1468</v>
      </c>
      <c r="B469" s="21" t="s">
        <v>216</v>
      </c>
      <c r="C469" s="2" t="s">
        <v>364</v>
      </c>
      <c r="D469" s="2" t="s">
        <v>379</v>
      </c>
      <c r="E469" s="2" t="s">
        <v>381</v>
      </c>
      <c r="F469" s="2" t="s">
        <v>389</v>
      </c>
      <c r="G469" s="2">
        <v>1</v>
      </c>
      <c r="H469" s="2">
        <v>20000</v>
      </c>
      <c r="I469" s="2">
        <v>0</v>
      </c>
      <c r="J469" s="3">
        <f t="shared" si="8"/>
        <v>20000</v>
      </c>
      <c r="K469" s="2" t="str">
        <f>TEXT(Table4[OrderDate], "mmmm")</f>
        <v>June</v>
      </c>
      <c r="L469" s="2">
        <f>IF(C469 = "", 0, IF(COUNTIF($C$2:C469, C469) = 1, 1, 0))</f>
        <v>0</v>
      </c>
    </row>
    <row r="470" spans="1:12" x14ac:dyDescent="0.25">
      <c r="A470" s="2">
        <v>1469</v>
      </c>
      <c r="B470" s="21" t="s">
        <v>154</v>
      </c>
      <c r="C470" s="2" t="s">
        <v>361</v>
      </c>
      <c r="D470" s="2" t="s">
        <v>377</v>
      </c>
      <c r="E470" s="2" t="s">
        <v>384</v>
      </c>
      <c r="F470" s="2" t="s">
        <v>389</v>
      </c>
      <c r="G470" s="2">
        <v>4</v>
      </c>
      <c r="H470" s="2">
        <v>30000</v>
      </c>
      <c r="I470" s="2">
        <v>0.05</v>
      </c>
      <c r="J470" s="3">
        <f t="shared" si="8"/>
        <v>114000</v>
      </c>
      <c r="K470" s="2" t="str">
        <f>TEXT(Table4[OrderDate], "mmmm")</f>
        <v>November</v>
      </c>
      <c r="L470" s="2">
        <f>IF(C470 = "", 0, IF(COUNTIF($C$2:C470, C470) = 1, 1, 0))</f>
        <v>0</v>
      </c>
    </row>
    <row r="471" spans="1:12" x14ac:dyDescent="0.25">
      <c r="A471" s="2">
        <v>1841</v>
      </c>
      <c r="B471" s="21" t="s">
        <v>64</v>
      </c>
      <c r="C471" s="2" t="s">
        <v>358</v>
      </c>
      <c r="D471" s="2" t="s">
        <v>379</v>
      </c>
      <c r="E471" s="2" t="s">
        <v>388</v>
      </c>
      <c r="F471" s="2" t="s">
        <v>389</v>
      </c>
      <c r="G471" s="2">
        <v>5</v>
      </c>
      <c r="H471" s="2">
        <v>12000</v>
      </c>
      <c r="I471" s="2">
        <v>0</v>
      </c>
      <c r="J471" s="3">
        <f t="shared" si="8"/>
        <v>60000</v>
      </c>
      <c r="K471" s="2" t="str">
        <f>TEXT(Table4[OrderDate], "mmmm")</f>
        <v>April</v>
      </c>
      <c r="L471" s="2">
        <f>IF(C471 = "", 0, IF(COUNTIF($C$2:C471, C471) = 1, 1, 0))</f>
        <v>0</v>
      </c>
    </row>
    <row r="472" spans="1:12" x14ac:dyDescent="0.25">
      <c r="A472" s="2">
        <v>1471</v>
      </c>
      <c r="B472" s="21" t="s">
        <v>251</v>
      </c>
      <c r="C472" s="2" t="s">
        <v>365</v>
      </c>
      <c r="D472" s="2" t="s">
        <v>377</v>
      </c>
      <c r="E472" s="2" t="s">
        <v>384</v>
      </c>
      <c r="F472" s="2" t="s">
        <v>389</v>
      </c>
      <c r="G472" s="2">
        <v>4</v>
      </c>
      <c r="H472" s="2">
        <v>30000</v>
      </c>
      <c r="I472" s="2">
        <v>0.15</v>
      </c>
      <c r="J472" s="3">
        <f t="shared" si="8"/>
        <v>102000</v>
      </c>
      <c r="K472" s="2" t="str">
        <f>TEXT(Table4[OrderDate], "mmmm")</f>
        <v>April</v>
      </c>
      <c r="L472" s="2">
        <f>IF(C472 = "", 0, IF(COUNTIF($C$2:C472, C472) = 1, 1, 0))</f>
        <v>0</v>
      </c>
    </row>
    <row r="473" spans="1:12" x14ac:dyDescent="0.25">
      <c r="A473" s="2">
        <v>1472</v>
      </c>
      <c r="B473" s="21" t="s">
        <v>92</v>
      </c>
      <c r="C473" s="2" t="s">
        <v>358</v>
      </c>
      <c r="D473" s="2" t="s">
        <v>376</v>
      </c>
      <c r="E473" s="2" t="s">
        <v>384</v>
      </c>
      <c r="F473" s="2" t="s">
        <v>389</v>
      </c>
      <c r="G473" s="2">
        <v>1</v>
      </c>
      <c r="H473" s="2">
        <v>30000</v>
      </c>
      <c r="I473" s="2">
        <v>0.15</v>
      </c>
      <c r="J473" s="3">
        <f t="shared" si="8"/>
        <v>25500</v>
      </c>
      <c r="K473" s="2" t="str">
        <f>TEXT(Table4[OrderDate], "mmmm")</f>
        <v>June</v>
      </c>
      <c r="L473" s="2">
        <f>IF(C473 = "", 0, IF(COUNTIF($C$2:C473, C473) = 1, 1, 0))</f>
        <v>0</v>
      </c>
    </row>
    <row r="474" spans="1:12" x14ac:dyDescent="0.25">
      <c r="A474" s="2">
        <v>1473</v>
      </c>
      <c r="B474" s="21" t="s">
        <v>283</v>
      </c>
      <c r="C474" s="2" t="s">
        <v>365</v>
      </c>
      <c r="D474" s="2" t="s">
        <v>375</v>
      </c>
      <c r="E474" s="2" t="s">
        <v>384</v>
      </c>
      <c r="F474" s="2" t="s">
        <v>389</v>
      </c>
      <c r="G474" s="2">
        <v>2</v>
      </c>
      <c r="H474" s="2">
        <v>30000</v>
      </c>
      <c r="I474" s="2">
        <v>0.1</v>
      </c>
      <c r="J474" s="3">
        <f t="shared" si="8"/>
        <v>54000</v>
      </c>
      <c r="K474" s="2" t="str">
        <f>TEXT(Table4[OrderDate], "mmmm")</f>
        <v>November</v>
      </c>
      <c r="L474" s="2">
        <f>IF(C474 = "", 0, IF(COUNTIF($C$2:C474, C474) = 1, 1, 0))</f>
        <v>0</v>
      </c>
    </row>
    <row r="475" spans="1:12" x14ac:dyDescent="0.25">
      <c r="A475" s="2">
        <v>1474</v>
      </c>
      <c r="B475" s="21" t="s">
        <v>276</v>
      </c>
      <c r="C475" s="2" t="s">
        <v>371</v>
      </c>
      <c r="D475" s="2" t="s">
        <v>378</v>
      </c>
      <c r="E475" s="2" t="s">
        <v>386</v>
      </c>
      <c r="F475" s="2" t="s">
        <v>391</v>
      </c>
      <c r="G475" s="2">
        <v>1</v>
      </c>
      <c r="H475" s="2">
        <v>7000</v>
      </c>
      <c r="I475" s="2">
        <v>0.1</v>
      </c>
      <c r="J475" s="3">
        <f t="shared" si="8"/>
        <v>6300</v>
      </c>
      <c r="K475" s="2" t="str">
        <f>TEXT(Table4[OrderDate], "mmmm")</f>
        <v>April</v>
      </c>
      <c r="L475" s="2">
        <f>IF(C475 = "", 0, IF(COUNTIF($C$2:C475, C475) = 1, 1, 0))</f>
        <v>0</v>
      </c>
    </row>
    <row r="476" spans="1:12" x14ac:dyDescent="0.25">
      <c r="A476" s="2">
        <v>1475</v>
      </c>
      <c r="B476" s="21" t="s">
        <v>99</v>
      </c>
      <c r="C476" s="2" t="s">
        <v>368</v>
      </c>
      <c r="D476" s="2" t="s">
        <v>377</v>
      </c>
      <c r="E476" s="2" t="s">
        <v>386</v>
      </c>
      <c r="F476" s="2" t="s">
        <v>391</v>
      </c>
      <c r="G476" s="2">
        <v>1</v>
      </c>
      <c r="H476" s="2">
        <v>7000</v>
      </c>
      <c r="I476" s="2">
        <v>0.05</v>
      </c>
      <c r="J476" s="3">
        <f t="shared" si="8"/>
        <v>6650</v>
      </c>
      <c r="K476" s="2" t="str">
        <f>TEXT(Table4[OrderDate], "mmmm")</f>
        <v>September</v>
      </c>
      <c r="L476" s="2">
        <f>IF(C476 = "", 0, IF(COUNTIF($C$2:C476, C476) = 1, 1, 0))</f>
        <v>0</v>
      </c>
    </row>
    <row r="477" spans="1:12" x14ac:dyDescent="0.25">
      <c r="A477" s="2">
        <v>1476</v>
      </c>
      <c r="B477" s="21" t="s">
        <v>241</v>
      </c>
      <c r="C477" s="2" t="s">
        <v>359</v>
      </c>
      <c r="D477" s="2" t="s">
        <v>376</v>
      </c>
      <c r="E477" s="2" t="s">
        <v>387</v>
      </c>
      <c r="F477" s="2" t="s">
        <v>391</v>
      </c>
      <c r="G477" s="2">
        <v>4</v>
      </c>
      <c r="H477" s="2">
        <v>3000</v>
      </c>
      <c r="I477" s="2">
        <v>0</v>
      </c>
      <c r="J477" s="3">
        <f t="shared" si="8"/>
        <v>12000</v>
      </c>
      <c r="K477" s="2" t="str">
        <f>TEXT(Table4[OrderDate], "mmmm")</f>
        <v>September</v>
      </c>
      <c r="L477" s="2">
        <f>IF(C477 = "", 0, IF(COUNTIF($C$2:C477, C477) = 1, 1, 0))</f>
        <v>0</v>
      </c>
    </row>
    <row r="478" spans="1:12" x14ac:dyDescent="0.25">
      <c r="A478" s="2">
        <v>1477</v>
      </c>
      <c r="B478" s="21" t="s">
        <v>48</v>
      </c>
      <c r="C478" s="2" t="s">
        <v>358</v>
      </c>
      <c r="D478" s="2" t="s">
        <v>376</v>
      </c>
      <c r="E478" s="2" t="s">
        <v>385</v>
      </c>
      <c r="F478" s="2" t="s">
        <v>390</v>
      </c>
      <c r="G478" s="2">
        <v>2</v>
      </c>
      <c r="H478" s="2">
        <v>2000</v>
      </c>
      <c r="I478" s="2">
        <v>0.15</v>
      </c>
      <c r="J478" s="3">
        <f t="shared" si="8"/>
        <v>3400</v>
      </c>
      <c r="K478" s="2" t="str">
        <f>TEXT(Table4[OrderDate], "mmmm")</f>
        <v>October</v>
      </c>
      <c r="L478" s="2">
        <f>IF(C478 = "", 0, IF(COUNTIF($C$2:C478, C478) = 1, 1, 0))</f>
        <v>0</v>
      </c>
    </row>
    <row r="479" spans="1:12" x14ac:dyDescent="0.25">
      <c r="A479" s="2">
        <v>1478</v>
      </c>
      <c r="B479" s="21" t="s">
        <v>284</v>
      </c>
      <c r="C479" s="2" t="s">
        <v>365</v>
      </c>
      <c r="D479" s="2" t="s">
        <v>374</v>
      </c>
      <c r="E479" s="2" t="s">
        <v>384</v>
      </c>
      <c r="F479" s="2" t="s">
        <v>389</v>
      </c>
      <c r="G479" s="2">
        <v>4</v>
      </c>
      <c r="H479" s="2">
        <v>30000</v>
      </c>
      <c r="I479" s="2">
        <v>0</v>
      </c>
      <c r="J479" s="3">
        <f t="shared" si="8"/>
        <v>120000</v>
      </c>
      <c r="K479" s="2" t="str">
        <f>TEXT(Table4[OrderDate], "mmmm")</f>
        <v>January</v>
      </c>
      <c r="L479" s="2">
        <f>IF(C479 = "", 0, IF(COUNTIF($C$2:C479, C479) = 1, 1, 0))</f>
        <v>0</v>
      </c>
    </row>
    <row r="480" spans="1:12" x14ac:dyDescent="0.25">
      <c r="A480" s="2">
        <v>1479</v>
      </c>
      <c r="B480" s="21" t="s">
        <v>44</v>
      </c>
      <c r="C480" s="2" t="s">
        <v>368</v>
      </c>
      <c r="D480" s="2" t="s">
        <v>379</v>
      </c>
      <c r="E480" s="2" t="s">
        <v>386</v>
      </c>
      <c r="F480" s="2" t="s">
        <v>391</v>
      </c>
      <c r="G480" s="2">
        <v>2</v>
      </c>
      <c r="H480" s="2">
        <v>7000</v>
      </c>
      <c r="I480" s="2">
        <v>0</v>
      </c>
      <c r="J480" s="3">
        <f t="shared" si="8"/>
        <v>14000</v>
      </c>
      <c r="K480" s="2" t="str">
        <f>TEXT(Table4[OrderDate], "mmmm")</f>
        <v>January</v>
      </c>
      <c r="L480" s="2">
        <f>IF(C480 = "", 0, IF(COUNTIF($C$2:C480, C480) = 1, 1, 0))</f>
        <v>0</v>
      </c>
    </row>
    <row r="481" spans="1:12" x14ac:dyDescent="0.25">
      <c r="A481" s="2">
        <v>1480</v>
      </c>
      <c r="B481" s="21" t="s">
        <v>285</v>
      </c>
      <c r="C481" s="2" t="s">
        <v>361</v>
      </c>
      <c r="D481" s="2" t="s">
        <v>379</v>
      </c>
      <c r="E481" s="2" t="s">
        <v>383</v>
      </c>
      <c r="F481" s="2" t="s">
        <v>390</v>
      </c>
      <c r="G481" s="2">
        <v>4</v>
      </c>
      <c r="H481" s="2">
        <v>1500</v>
      </c>
      <c r="I481" s="2">
        <v>0.15</v>
      </c>
      <c r="J481" s="3">
        <f t="shared" si="8"/>
        <v>5100</v>
      </c>
      <c r="K481" s="2" t="str">
        <f>TEXT(Table4[OrderDate], "mmmm")</f>
        <v>February</v>
      </c>
      <c r="L481" s="2">
        <f>IF(C481 = "", 0, IF(COUNTIF($C$2:C481, C481) = 1, 1, 0))</f>
        <v>0</v>
      </c>
    </row>
    <row r="482" spans="1:12" x14ac:dyDescent="0.25">
      <c r="A482" s="2">
        <v>1481</v>
      </c>
      <c r="B482" s="21" t="s">
        <v>75</v>
      </c>
      <c r="C482" s="2" t="s">
        <v>371</v>
      </c>
      <c r="D482" s="2" t="s">
        <v>373</v>
      </c>
      <c r="E482" s="2" t="s">
        <v>381</v>
      </c>
      <c r="F482" s="2" t="s">
        <v>389</v>
      </c>
      <c r="G482" s="2">
        <v>3</v>
      </c>
      <c r="H482" s="2">
        <v>20000</v>
      </c>
      <c r="I482" s="2">
        <v>0</v>
      </c>
      <c r="J482" s="3">
        <f t="shared" si="8"/>
        <v>60000</v>
      </c>
      <c r="K482" s="2" t="str">
        <f>TEXT(Table4[OrderDate], "mmmm")</f>
        <v>September</v>
      </c>
      <c r="L482" s="2">
        <f>IF(C482 = "", 0, IF(COUNTIF($C$2:C482, C482) = 1, 1, 0))</f>
        <v>0</v>
      </c>
    </row>
    <row r="483" spans="1:12" x14ac:dyDescent="0.25">
      <c r="A483" s="2">
        <v>1482</v>
      </c>
      <c r="B483" s="21" t="s">
        <v>183</v>
      </c>
      <c r="C483" s="2" t="s">
        <v>358</v>
      </c>
      <c r="D483" s="2" t="s">
        <v>375</v>
      </c>
      <c r="E483" s="2" t="s">
        <v>385</v>
      </c>
      <c r="F483" s="2" t="s">
        <v>390</v>
      </c>
      <c r="G483" s="2">
        <v>4</v>
      </c>
      <c r="H483" s="2">
        <v>2000</v>
      </c>
      <c r="I483" s="2">
        <v>0</v>
      </c>
      <c r="J483" s="3">
        <f t="shared" si="8"/>
        <v>8000</v>
      </c>
      <c r="K483" s="2" t="str">
        <f>TEXT(Table4[OrderDate], "mmmm")</f>
        <v>June</v>
      </c>
      <c r="L483" s="2">
        <f>IF(C483 = "", 0, IF(COUNTIF($C$2:C483, C483) = 1, 1, 0))</f>
        <v>0</v>
      </c>
    </row>
    <row r="484" spans="1:12" x14ac:dyDescent="0.25">
      <c r="A484" s="2">
        <v>1483</v>
      </c>
      <c r="B484" s="21" t="s">
        <v>30</v>
      </c>
      <c r="C484" s="2" t="s">
        <v>362</v>
      </c>
      <c r="D484" s="2" t="s">
        <v>380</v>
      </c>
      <c r="E484" s="2" t="s">
        <v>382</v>
      </c>
      <c r="F484" s="2" t="s">
        <v>389</v>
      </c>
      <c r="G484" s="2">
        <v>2</v>
      </c>
      <c r="H484" s="2">
        <v>50000</v>
      </c>
      <c r="I484" s="2">
        <v>0</v>
      </c>
      <c r="J484" s="3">
        <f t="shared" si="8"/>
        <v>100000</v>
      </c>
      <c r="K484" s="2" t="str">
        <f>TEXT(Table4[OrderDate], "mmmm")</f>
        <v>August</v>
      </c>
      <c r="L484" s="2">
        <f>IF(C484 = "", 0, IF(COUNTIF($C$2:C484, C484) = 1, 1, 0))</f>
        <v>0</v>
      </c>
    </row>
    <row r="485" spans="1:12" x14ac:dyDescent="0.25">
      <c r="A485" s="2">
        <v>1484</v>
      </c>
      <c r="B485" s="21" t="s">
        <v>36</v>
      </c>
      <c r="C485" s="2" t="s">
        <v>359</v>
      </c>
      <c r="D485" s="2" t="s">
        <v>373</v>
      </c>
      <c r="E485" s="2" t="s">
        <v>382</v>
      </c>
      <c r="F485" s="2" t="s">
        <v>389</v>
      </c>
      <c r="G485" s="2">
        <v>3</v>
      </c>
      <c r="H485" s="2">
        <v>50000</v>
      </c>
      <c r="I485" s="2">
        <v>0.05</v>
      </c>
      <c r="J485" s="3">
        <f t="shared" si="8"/>
        <v>142500</v>
      </c>
      <c r="K485" s="2" t="str">
        <f>TEXT(Table4[OrderDate], "mmmm")</f>
        <v>March</v>
      </c>
      <c r="L485" s="2">
        <f>IF(C485 = "", 0, IF(COUNTIF($C$2:C485, C485) = 1, 1, 0))</f>
        <v>0</v>
      </c>
    </row>
    <row r="486" spans="1:12" x14ac:dyDescent="0.25">
      <c r="A486" s="2">
        <v>1485</v>
      </c>
      <c r="B486" s="21" t="s">
        <v>243</v>
      </c>
      <c r="C486" s="2" t="s">
        <v>360</v>
      </c>
      <c r="D486" s="2" t="s">
        <v>373</v>
      </c>
      <c r="E486" s="2" t="s">
        <v>382</v>
      </c>
      <c r="F486" s="2" t="s">
        <v>389</v>
      </c>
      <c r="G486" s="2">
        <v>2</v>
      </c>
      <c r="H486" s="2">
        <v>50000</v>
      </c>
      <c r="I486" s="2">
        <v>0.15</v>
      </c>
      <c r="J486" s="3">
        <f t="shared" si="8"/>
        <v>85000</v>
      </c>
      <c r="K486" s="2" t="str">
        <f>TEXT(Table4[OrderDate], "mmmm")</f>
        <v>June</v>
      </c>
      <c r="L486" s="2">
        <f>IF(C486 = "", 0, IF(COUNTIF($C$2:C486, C486) = 1, 1, 0))</f>
        <v>0</v>
      </c>
    </row>
    <row r="487" spans="1:12" x14ac:dyDescent="0.25">
      <c r="A487" s="2">
        <v>1486</v>
      </c>
      <c r="B487" s="21" t="s">
        <v>124</v>
      </c>
      <c r="C487" s="2" t="s">
        <v>359</v>
      </c>
      <c r="D487" s="2" t="s">
        <v>376</v>
      </c>
      <c r="E487" s="2" t="s">
        <v>385</v>
      </c>
      <c r="F487" s="2" t="s">
        <v>390</v>
      </c>
      <c r="G487" s="2">
        <v>2</v>
      </c>
      <c r="H487" s="2">
        <v>2000</v>
      </c>
      <c r="I487" s="2">
        <v>0.1</v>
      </c>
      <c r="J487" s="3">
        <f t="shared" si="8"/>
        <v>3600</v>
      </c>
      <c r="K487" s="2" t="str">
        <f>TEXT(Table4[OrderDate], "mmmm")</f>
        <v>March</v>
      </c>
      <c r="L487" s="2">
        <f>IF(C487 = "", 0, IF(COUNTIF($C$2:C487, C487) = 1, 1, 0))</f>
        <v>0</v>
      </c>
    </row>
    <row r="488" spans="1:12" x14ac:dyDescent="0.25">
      <c r="A488" s="2">
        <v>1487</v>
      </c>
      <c r="B488" s="21" t="s">
        <v>274</v>
      </c>
      <c r="C488" s="2" t="s">
        <v>365</v>
      </c>
      <c r="D488" s="2" t="s">
        <v>380</v>
      </c>
      <c r="E488" s="2" t="s">
        <v>383</v>
      </c>
      <c r="F488" s="2" t="s">
        <v>390</v>
      </c>
      <c r="G488" s="2">
        <v>3</v>
      </c>
      <c r="H488" s="2">
        <v>1500</v>
      </c>
      <c r="I488" s="2">
        <v>0</v>
      </c>
      <c r="J488" s="3">
        <f t="shared" si="8"/>
        <v>4500</v>
      </c>
      <c r="K488" s="2" t="str">
        <f>TEXT(Table4[OrderDate], "mmmm")</f>
        <v>May</v>
      </c>
      <c r="L488" s="2">
        <f>IF(C488 = "", 0, IF(COUNTIF($C$2:C488, C488) = 1, 1, 0))</f>
        <v>0</v>
      </c>
    </row>
    <row r="489" spans="1:12" x14ac:dyDescent="0.25">
      <c r="A489" s="2">
        <v>1892</v>
      </c>
      <c r="B489" s="21" t="s">
        <v>350</v>
      </c>
      <c r="C489" s="2" t="s">
        <v>367</v>
      </c>
      <c r="D489" s="2" t="s">
        <v>375</v>
      </c>
      <c r="E489" s="2" t="s">
        <v>388</v>
      </c>
      <c r="F489" s="2" t="s">
        <v>389</v>
      </c>
      <c r="G489" s="2">
        <v>5</v>
      </c>
      <c r="H489" s="2">
        <v>12000</v>
      </c>
      <c r="I489" s="2">
        <v>0</v>
      </c>
      <c r="J489" s="3">
        <f t="shared" si="8"/>
        <v>60000</v>
      </c>
      <c r="K489" s="2" t="str">
        <f>TEXT(Table4[OrderDate], "mmmm")</f>
        <v>November</v>
      </c>
      <c r="L489" s="2">
        <f>IF(C489 = "", 0, IF(COUNTIF($C$2:C489, C489) = 1, 1, 0))</f>
        <v>0</v>
      </c>
    </row>
    <row r="490" spans="1:12" x14ac:dyDescent="0.25">
      <c r="A490" s="2">
        <v>1489</v>
      </c>
      <c r="B490" s="21" t="s">
        <v>94</v>
      </c>
      <c r="C490" s="2" t="s">
        <v>362</v>
      </c>
      <c r="D490" s="2" t="s">
        <v>375</v>
      </c>
      <c r="E490" s="2" t="s">
        <v>385</v>
      </c>
      <c r="F490" s="2" t="s">
        <v>390</v>
      </c>
      <c r="G490" s="2">
        <v>2</v>
      </c>
      <c r="H490" s="2">
        <v>2000</v>
      </c>
      <c r="I490" s="2">
        <v>0.1</v>
      </c>
      <c r="J490" s="3">
        <f t="shared" si="8"/>
        <v>3600</v>
      </c>
      <c r="K490" s="2" t="str">
        <f>TEXT(Table4[OrderDate], "mmmm")</f>
        <v>February</v>
      </c>
      <c r="L490" s="2">
        <f>IF(C490 = "", 0, IF(COUNTIF($C$2:C490, C490) = 1, 1, 0))</f>
        <v>0</v>
      </c>
    </row>
    <row r="491" spans="1:12" x14ac:dyDescent="0.25">
      <c r="A491" s="2">
        <v>1490</v>
      </c>
      <c r="B491" s="21" t="s">
        <v>10</v>
      </c>
      <c r="C491" s="2" t="s">
        <v>372</v>
      </c>
      <c r="D491" s="2" t="s">
        <v>380</v>
      </c>
      <c r="E491" s="2" t="s">
        <v>382</v>
      </c>
      <c r="F491" s="2" t="s">
        <v>389</v>
      </c>
      <c r="G491" s="2">
        <v>1</v>
      </c>
      <c r="H491" s="2">
        <v>50000</v>
      </c>
      <c r="I491" s="2">
        <v>0</v>
      </c>
      <c r="J491" s="3">
        <f t="shared" si="8"/>
        <v>50000</v>
      </c>
      <c r="K491" s="2" t="str">
        <f>TEXT(Table4[OrderDate], "mmmm")</f>
        <v>May</v>
      </c>
      <c r="L491" s="2">
        <f>IF(C491 = "", 0, IF(COUNTIF($C$2:C491, C491) = 1, 1, 0))</f>
        <v>0</v>
      </c>
    </row>
    <row r="492" spans="1:12" x14ac:dyDescent="0.25">
      <c r="A492" s="2">
        <v>1491</v>
      </c>
      <c r="B492" s="21" t="s">
        <v>253</v>
      </c>
      <c r="C492" s="2" t="s">
        <v>372</v>
      </c>
      <c r="D492" s="2" t="s">
        <v>378</v>
      </c>
      <c r="E492" s="2" t="s">
        <v>385</v>
      </c>
      <c r="F492" s="2" t="s">
        <v>390</v>
      </c>
      <c r="G492" s="2">
        <v>4</v>
      </c>
      <c r="H492" s="2">
        <v>2000</v>
      </c>
      <c r="I492" s="2">
        <v>0.05</v>
      </c>
      <c r="J492" s="3">
        <f t="shared" si="8"/>
        <v>7600</v>
      </c>
      <c r="K492" s="2" t="str">
        <f>TEXT(Table4[OrderDate], "mmmm")</f>
        <v>April</v>
      </c>
      <c r="L492" s="2">
        <f>IF(C492 = "", 0, IF(COUNTIF($C$2:C492, C492) = 1, 1, 0))</f>
        <v>0</v>
      </c>
    </row>
    <row r="493" spans="1:12" x14ac:dyDescent="0.25">
      <c r="A493" s="2">
        <v>1492</v>
      </c>
      <c r="B493" s="21" t="s">
        <v>286</v>
      </c>
      <c r="C493" s="2" t="s">
        <v>366</v>
      </c>
      <c r="D493" s="2" t="s">
        <v>379</v>
      </c>
      <c r="E493" s="2" t="s">
        <v>387</v>
      </c>
      <c r="F493" s="2" t="s">
        <v>391</v>
      </c>
      <c r="G493" s="2">
        <v>3</v>
      </c>
      <c r="H493" s="2">
        <v>3000</v>
      </c>
      <c r="I493" s="2">
        <v>0.05</v>
      </c>
      <c r="J493" s="3">
        <f t="shared" si="8"/>
        <v>8550</v>
      </c>
      <c r="K493" s="2" t="str">
        <f>TEXT(Table4[OrderDate], "mmmm")</f>
        <v>August</v>
      </c>
      <c r="L493" s="2">
        <f>IF(C493 = "", 0, IF(COUNTIF($C$2:C493, C493) = 1, 1, 0))</f>
        <v>0</v>
      </c>
    </row>
    <row r="494" spans="1:12" x14ac:dyDescent="0.25">
      <c r="A494" s="2">
        <v>1160</v>
      </c>
      <c r="B494" s="21" t="s">
        <v>136</v>
      </c>
      <c r="C494" s="2" t="s">
        <v>363</v>
      </c>
      <c r="D494" s="2" t="s">
        <v>379</v>
      </c>
      <c r="E494" s="2" t="s">
        <v>388</v>
      </c>
      <c r="F494" s="2" t="s">
        <v>389</v>
      </c>
      <c r="G494" s="2">
        <v>5</v>
      </c>
      <c r="H494" s="2">
        <v>12000</v>
      </c>
      <c r="I494" s="2">
        <v>0.05</v>
      </c>
      <c r="J494" s="3">
        <f t="shared" si="8"/>
        <v>57000</v>
      </c>
      <c r="K494" s="2" t="str">
        <f>TEXT(Table4[OrderDate], "mmmm")</f>
        <v>April</v>
      </c>
      <c r="L494" s="2">
        <f>IF(C494 = "", 0, IF(COUNTIF($C$2:C494, C494) = 1, 1, 0))</f>
        <v>0</v>
      </c>
    </row>
    <row r="495" spans="1:12" x14ac:dyDescent="0.25">
      <c r="A495" s="2">
        <v>1230</v>
      </c>
      <c r="B495" s="21" t="s">
        <v>159</v>
      </c>
      <c r="C495" s="2" t="s">
        <v>363</v>
      </c>
      <c r="D495" s="2" t="s">
        <v>377</v>
      </c>
      <c r="E495" s="2" t="s">
        <v>388</v>
      </c>
      <c r="F495" s="2" t="s">
        <v>389</v>
      </c>
      <c r="G495" s="2">
        <v>5</v>
      </c>
      <c r="H495" s="2">
        <v>12000</v>
      </c>
      <c r="I495" s="2">
        <v>0.05</v>
      </c>
      <c r="J495" s="3">
        <f t="shared" si="8"/>
        <v>57000</v>
      </c>
      <c r="K495" s="2" t="str">
        <f>TEXT(Table4[OrderDate], "mmmm")</f>
        <v>February</v>
      </c>
      <c r="L495" s="2">
        <f>IF(C495 = "", 0, IF(COUNTIF($C$2:C495, C495) = 1, 1, 0))</f>
        <v>0</v>
      </c>
    </row>
    <row r="496" spans="1:12" x14ac:dyDescent="0.25">
      <c r="A496" s="2">
        <v>1495</v>
      </c>
      <c r="B496" s="21" t="s">
        <v>230</v>
      </c>
      <c r="C496" s="2" t="s">
        <v>363</v>
      </c>
      <c r="D496" s="2" t="s">
        <v>374</v>
      </c>
      <c r="E496" s="2" t="s">
        <v>386</v>
      </c>
      <c r="F496" s="2" t="s">
        <v>391</v>
      </c>
      <c r="G496" s="2">
        <v>3</v>
      </c>
      <c r="H496" s="2">
        <v>7000</v>
      </c>
      <c r="I496" s="2">
        <v>0.1</v>
      </c>
      <c r="J496" s="3">
        <f t="shared" si="8"/>
        <v>18900</v>
      </c>
      <c r="K496" s="2" t="str">
        <f>TEXT(Table4[OrderDate], "mmmm")</f>
        <v>February</v>
      </c>
      <c r="L496" s="2">
        <f>IF(C496 = "", 0, IF(COUNTIF($C$2:C496, C496) = 1, 1, 0))</f>
        <v>0</v>
      </c>
    </row>
    <row r="497" spans="1:12" x14ac:dyDescent="0.25">
      <c r="A497" s="2">
        <v>1496</v>
      </c>
      <c r="B497" s="21" t="s">
        <v>108</v>
      </c>
      <c r="C497" s="2" t="s">
        <v>370</v>
      </c>
      <c r="D497" s="2" t="s">
        <v>375</v>
      </c>
      <c r="E497" s="2" t="s">
        <v>385</v>
      </c>
      <c r="F497" s="2" t="s">
        <v>390</v>
      </c>
      <c r="G497" s="2">
        <v>2</v>
      </c>
      <c r="H497" s="2">
        <v>2000</v>
      </c>
      <c r="I497" s="2">
        <v>0.1</v>
      </c>
      <c r="J497" s="3">
        <f t="shared" si="8"/>
        <v>3600</v>
      </c>
      <c r="K497" s="2" t="str">
        <f>TEXT(Table4[OrderDate], "mmmm")</f>
        <v>October</v>
      </c>
      <c r="L497" s="2">
        <f>IF(C497 = "", 0, IF(COUNTIF($C$2:C497, C497) = 1, 1, 0))</f>
        <v>0</v>
      </c>
    </row>
    <row r="498" spans="1:12" x14ac:dyDescent="0.25">
      <c r="A498" s="2">
        <v>1497</v>
      </c>
      <c r="B498" s="21" t="s">
        <v>213</v>
      </c>
      <c r="C498" s="2" t="s">
        <v>357</v>
      </c>
      <c r="D498" s="2" t="s">
        <v>373</v>
      </c>
      <c r="E498" s="2" t="s">
        <v>388</v>
      </c>
      <c r="F498" s="2" t="s">
        <v>389</v>
      </c>
      <c r="G498" s="2">
        <v>3</v>
      </c>
      <c r="H498" s="2">
        <v>12000</v>
      </c>
      <c r="I498" s="2">
        <v>0.15</v>
      </c>
      <c r="J498" s="3">
        <f t="shared" si="8"/>
        <v>30600</v>
      </c>
      <c r="K498" s="2" t="str">
        <f>TEXT(Table4[OrderDate], "mmmm")</f>
        <v>April</v>
      </c>
      <c r="L498" s="2">
        <f>IF(C498 = "", 0, IF(COUNTIF($C$2:C498, C498) = 1, 1, 0))</f>
        <v>0</v>
      </c>
    </row>
    <row r="499" spans="1:12" x14ac:dyDescent="0.25">
      <c r="A499" s="2">
        <v>1498</v>
      </c>
      <c r="B499" s="21" t="s">
        <v>12</v>
      </c>
      <c r="C499" s="2" t="s">
        <v>364</v>
      </c>
      <c r="D499" s="2" t="s">
        <v>374</v>
      </c>
      <c r="E499" s="2" t="s">
        <v>382</v>
      </c>
      <c r="F499" s="2" t="s">
        <v>389</v>
      </c>
      <c r="G499" s="2">
        <v>4</v>
      </c>
      <c r="H499" s="2">
        <v>50000</v>
      </c>
      <c r="I499" s="2">
        <v>0</v>
      </c>
      <c r="J499" s="3">
        <f t="shared" si="8"/>
        <v>200000</v>
      </c>
      <c r="K499" s="2" t="str">
        <f>TEXT(Table4[OrderDate], "mmmm")</f>
        <v>April</v>
      </c>
      <c r="L499" s="2">
        <f>IF(C499 = "", 0, IF(COUNTIF($C$2:C499, C499) = 1, 1, 0))</f>
        <v>0</v>
      </c>
    </row>
    <row r="500" spans="1:12" x14ac:dyDescent="0.25">
      <c r="A500" s="2">
        <v>1499</v>
      </c>
      <c r="B500" s="21" t="s">
        <v>233</v>
      </c>
      <c r="C500" s="2" t="s">
        <v>362</v>
      </c>
      <c r="D500" s="2" t="s">
        <v>375</v>
      </c>
      <c r="E500" s="2" t="s">
        <v>385</v>
      </c>
      <c r="F500" s="2" t="s">
        <v>390</v>
      </c>
      <c r="G500" s="2">
        <v>1</v>
      </c>
      <c r="H500" s="2">
        <v>2000</v>
      </c>
      <c r="I500" s="2">
        <v>0.15</v>
      </c>
      <c r="J500" s="3">
        <f t="shared" si="8"/>
        <v>1700</v>
      </c>
      <c r="K500" s="2" t="str">
        <f>TEXT(Table4[OrderDate], "mmmm")</f>
        <v>June</v>
      </c>
      <c r="L500" s="2">
        <f>IF(C500 = "", 0, IF(COUNTIF($C$2:C500, C500) = 1, 1, 0))</f>
        <v>0</v>
      </c>
    </row>
    <row r="501" spans="1:12" x14ac:dyDescent="0.25">
      <c r="A501" s="2">
        <v>1500</v>
      </c>
      <c r="B501" s="21" t="s">
        <v>44</v>
      </c>
      <c r="C501" s="2" t="s">
        <v>361</v>
      </c>
      <c r="D501" s="2" t="s">
        <v>379</v>
      </c>
      <c r="E501" s="2" t="s">
        <v>387</v>
      </c>
      <c r="F501" s="2" t="s">
        <v>391</v>
      </c>
      <c r="G501" s="2">
        <v>4</v>
      </c>
      <c r="H501" s="2">
        <v>3000</v>
      </c>
      <c r="I501" s="2">
        <v>0.15</v>
      </c>
      <c r="J501" s="3">
        <f t="shared" si="8"/>
        <v>10200</v>
      </c>
      <c r="K501" s="2" t="str">
        <f>TEXT(Table4[OrderDate], "mmmm")</f>
        <v>January</v>
      </c>
      <c r="L501" s="2">
        <f>IF(C501 = "", 0, IF(COUNTIF($C$2:C501, C501) = 1, 1, 0))</f>
        <v>0</v>
      </c>
    </row>
    <row r="502" spans="1:12" x14ac:dyDescent="0.25">
      <c r="A502" s="2">
        <v>1501</v>
      </c>
      <c r="B502" s="21" t="s">
        <v>287</v>
      </c>
      <c r="C502" s="2" t="s">
        <v>358</v>
      </c>
      <c r="D502" s="2" t="s">
        <v>376</v>
      </c>
      <c r="E502" s="2" t="s">
        <v>381</v>
      </c>
      <c r="F502" s="2" t="s">
        <v>389</v>
      </c>
      <c r="G502" s="2">
        <v>1</v>
      </c>
      <c r="H502" s="2">
        <v>20000</v>
      </c>
      <c r="I502" s="2">
        <v>0.05</v>
      </c>
      <c r="J502" s="3">
        <f t="shared" si="8"/>
        <v>19000</v>
      </c>
      <c r="K502" s="2" t="str">
        <f>TEXT(Table4[OrderDate], "mmmm")</f>
        <v>September</v>
      </c>
      <c r="L502" s="2">
        <f>IF(C502 = "", 0, IF(COUNTIF($C$2:C502, C502) = 1, 1, 0))</f>
        <v>0</v>
      </c>
    </row>
    <row r="503" spans="1:12" x14ac:dyDescent="0.25">
      <c r="A503" s="2">
        <v>1502</v>
      </c>
      <c r="B503" s="21" t="s">
        <v>219</v>
      </c>
      <c r="C503" s="2" t="s">
        <v>361</v>
      </c>
      <c r="D503" s="2" t="s">
        <v>378</v>
      </c>
      <c r="E503" s="2" t="s">
        <v>388</v>
      </c>
      <c r="F503" s="2" t="s">
        <v>389</v>
      </c>
      <c r="G503" s="2">
        <v>1</v>
      </c>
      <c r="H503" s="2">
        <v>12000</v>
      </c>
      <c r="I503" s="2">
        <v>0</v>
      </c>
      <c r="J503" s="3">
        <f t="shared" si="8"/>
        <v>12000</v>
      </c>
      <c r="K503" s="2" t="str">
        <f>TEXT(Table4[OrderDate], "mmmm")</f>
        <v>September</v>
      </c>
      <c r="L503" s="2">
        <f>IF(C503 = "", 0, IF(COUNTIF($C$2:C503, C503) = 1, 1, 0))</f>
        <v>0</v>
      </c>
    </row>
    <row r="504" spans="1:12" x14ac:dyDescent="0.25">
      <c r="A504" s="2">
        <v>1232</v>
      </c>
      <c r="B504" s="21" t="s">
        <v>60</v>
      </c>
      <c r="C504" s="2" t="s">
        <v>364</v>
      </c>
      <c r="D504" s="2" t="s">
        <v>379</v>
      </c>
      <c r="E504" s="2" t="s">
        <v>388</v>
      </c>
      <c r="F504" s="2" t="s">
        <v>389</v>
      </c>
      <c r="G504" s="2">
        <v>5</v>
      </c>
      <c r="H504" s="2">
        <v>12000</v>
      </c>
      <c r="I504" s="2">
        <v>0.05</v>
      </c>
      <c r="J504" s="3">
        <f t="shared" si="8"/>
        <v>57000</v>
      </c>
      <c r="K504" s="2" t="str">
        <f>TEXT(Table4[OrderDate], "mmmm")</f>
        <v>July</v>
      </c>
      <c r="L504" s="2">
        <f>IF(C504 = "", 0, IF(COUNTIF($C$2:C504, C504) = 1, 1, 0))</f>
        <v>0</v>
      </c>
    </row>
    <row r="505" spans="1:12" x14ac:dyDescent="0.25">
      <c r="A505" s="2">
        <v>1504</v>
      </c>
      <c r="B505" s="21" t="s">
        <v>90</v>
      </c>
      <c r="C505" s="2" t="s">
        <v>366</v>
      </c>
      <c r="D505" s="2" t="s">
        <v>376</v>
      </c>
      <c r="E505" s="2" t="s">
        <v>386</v>
      </c>
      <c r="F505" s="2" t="s">
        <v>391</v>
      </c>
      <c r="G505" s="2">
        <v>3</v>
      </c>
      <c r="H505" s="2">
        <v>7000</v>
      </c>
      <c r="I505" s="2">
        <v>0.1</v>
      </c>
      <c r="J505" s="3">
        <f t="shared" si="8"/>
        <v>18900</v>
      </c>
      <c r="K505" s="2" t="str">
        <f>TEXT(Table4[OrderDate], "mmmm")</f>
        <v>July</v>
      </c>
      <c r="L505" s="2">
        <f>IF(C505 = "", 0, IF(COUNTIF($C$2:C505, C505) = 1, 1, 0))</f>
        <v>0</v>
      </c>
    </row>
    <row r="506" spans="1:12" x14ac:dyDescent="0.25">
      <c r="A506" s="2">
        <v>1505</v>
      </c>
      <c r="B506" s="21" t="s">
        <v>288</v>
      </c>
      <c r="C506" s="2" t="s">
        <v>371</v>
      </c>
      <c r="D506" s="2" t="s">
        <v>373</v>
      </c>
      <c r="E506" s="2" t="s">
        <v>388</v>
      </c>
      <c r="F506" s="2" t="s">
        <v>389</v>
      </c>
      <c r="G506" s="2">
        <v>3</v>
      </c>
      <c r="H506" s="2">
        <v>12000</v>
      </c>
      <c r="I506" s="2">
        <v>0.05</v>
      </c>
      <c r="J506" s="3">
        <f t="shared" si="8"/>
        <v>34200</v>
      </c>
      <c r="K506" s="2" t="str">
        <f>TEXT(Table4[OrderDate], "mmmm")</f>
        <v>February</v>
      </c>
      <c r="L506" s="2">
        <f>IF(C506 = "", 0, IF(COUNTIF($C$2:C506, C506) = 1, 1, 0))</f>
        <v>0</v>
      </c>
    </row>
    <row r="507" spans="1:12" x14ac:dyDescent="0.25">
      <c r="A507" s="2">
        <v>1506</v>
      </c>
      <c r="B507" s="21" t="s">
        <v>115</v>
      </c>
      <c r="C507" s="2" t="s">
        <v>363</v>
      </c>
      <c r="D507" s="2" t="s">
        <v>380</v>
      </c>
      <c r="E507" s="2" t="s">
        <v>381</v>
      </c>
      <c r="F507" s="2" t="s">
        <v>389</v>
      </c>
      <c r="G507" s="2">
        <v>2</v>
      </c>
      <c r="H507" s="2">
        <v>20000</v>
      </c>
      <c r="I507" s="2">
        <v>0</v>
      </c>
      <c r="J507" s="3">
        <f t="shared" si="8"/>
        <v>40000</v>
      </c>
      <c r="K507" s="2" t="str">
        <f>TEXT(Table4[OrderDate], "mmmm")</f>
        <v>March</v>
      </c>
      <c r="L507" s="2">
        <f>IF(C507 = "", 0, IF(COUNTIF($C$2:C507, C507) = 1, 1, 0))</f>
        <v>0</v>
      </c>
    </row>
    <row r="508" spans="1:12" x14ac:dyDescent="0.25">
      <c r="A508" s="2">
        <v>1507</v>
      </c>
      <c r="B508" s="21" t="s">
        <v>267</v>
      </c>
      <c r="C508" s="2" t="s">
        <v>364</v>
      </c>
      <c r="D508" s="2" t="s">
        <v>375</v>
      </c>
      <c r="E508" s="2" t="s">
        <v>385</v>
      </c>
      <c r="F508" s="2" t="s">
        <v>390</v>
      </c>
      <c r="G508" s="2">
        <v>4</v>
      </c>
      <c r="H508" s="2">
        <v>2000</v>
      </c>
      <c r="I508" s="2">
        <v>0</v>
      </c>
      <c r="J508" s="3">
        <f t="shared" si="8"/>
        <v>8000</v>
      </c>
      <c r="K508" s="2" t="str">
        <f>TEXT(Table4[OrderDate], "mmmm")</f>
        <v>October</v>
      </c>
      <c r="L508" s="2">
        <f>IF(C508 = "", 0, IF(COUNTIF($C$2:C508, C508) = 1, 1, 0))</f>
        <v>0</v>
      </c>
    </row>
    <row r="509" spans="1:12" x14ac:dyDescent="0.25">
      <c r="A509" s="2">
        <v>1508</v>
      </c>
      <c r="B509" s="21" t="s">
        <v>146</v>
      </c>
      <c r="C509" s="2" t="s">
        <v>362</v>
      </c>
      <c r="D509" s="2" t="s">
        <v>377</v>
      </c>
      <c r="E509" s="2" t="s">
        <v>388</v>
      </c>
      <c r="F509" s="2" t="s">
        <v>389</v>
      </c>
      <c r="G509" s="2">
        <v>3</v>
      </c>
      <c r="H509" s="2">
        <v>12000</v>
      </c>
      <c r="I509" s="2">
        <v>0.15</v>
      </c>
      <c r="J509" s="3">
        <f t="shared" si="8"/>
        <v>30600</v>
      </c>
      <c r="K509" s="2" t="str">
        <f>TEXT(Table4[OrderDate], "mmmm")</f>
        <v>May</v>
      </c>
      <c r="L509" s="2">
        <f>IF(C509 = "", 0, IF(COUNTIF($C$2:C509, C509) = 1, 1, 0))</f>
        <v>0</v>
      </c>
    </row>
    <row r="510" spans="1:12" x14ac:dyDescent="0.25">
      <c r="A510" s="2">
        <v>1509</v>
      </c>
      <c r="B510" s="21" t="s">
        <v>172</v>
      </c>
      <c r="C510" s="2" t="s">
        <v>366</v>
      </c>
      <c r="D510" s="2" t="s">
        <v>373</v>
      </c>
      <c r="E510" s="2" t="s">
        <v>384</v>
      </c>
      <c r="F510" s="2" t="s">
        <v>389</v>
      </c>
      <c r="G510" s="2">
        <v>3</v>
      </c>
      <c r="H510" s="2">
        <v>30000</v>
      </c>
      <c r="I510" s="2">
        <v>0</v>
      </c>
      <c r="J510" s="3">
        <f t="shared" si="8"/>
        <v>90000</v>
      </c>
      <c r="K510" s="2" t="str">
        <f>TEXT(Table4[OrderDate], "mmmm")</f>
        <v>April</v>
      </c>
      <c r="L510" s="2">
        <f>IF(C510 = "", 0, IF(COUNTIF($C$2:C510, C510) = 1, 1, 0))</f>
        <v>0</v>
      </c>
    </row>
    <row r="511" spans="1:12" x14ac:dyDescent="0.25">
      <c r="A511" s="2">
        <v>1510</v>
      </c>
      <c r="B511" s="21" t="s">
        <v>289</v>
      </c>
      <c r="C511" s="2" t="s">
        <v>372</v>
      </c>
      <c r="D511" s="2" t="s">
        <v>379</v>
      </c>
      <c r="E511" s="2" t="s">
        <v>381</v>
      </c>
      <c r="F511" s="2" t="s">
        <v>389</v>
      </c>
      <c r="G511" s="2">
        <v>2</v>
      </c>
      <c r="H511" s="2">
        <v>20000</v>
      </c>
      <c r="I511" s="2">
        <v>0.1</v>
      </c>
      <c r="J511" s="3">
        <f t="shared" si="8"/>
        <v>36000</v>
      </c>
      <c r="K511" s="2" t="str">
        <f>TEXT(Table4[OrderDate], "mmmm")</f>
        <v>July</v>
      </c>
      <c r="L511" s="2">
        <f>IF(C511 = "", 0, IF(COUNTIF($C$2:C511, C511) = 1, 1, 0))</f>
        <v>0</v>
      </c>
    </row>
    <row r="512" spans="1:12" x14ac:dyDescent="0.25">
      <c r="A512" s="2">
        <v>1511</v>
      </c>
      <c r="B512" s="21" t="s">
        <v>73</v>
      </c>
      <c r="C512" s="2" t="s">
        <v>363</v>
      </c>
      <c r="D512" s="2" t="s">
        <v>375</v>
      </c>
      <c r="E512" s="2" t="s">
        <v>386</v>
      </c>
      <c r="F512" s="2" t="s">
        <v>391</v>
      </c>
      <c r="G512" s="2">
        <v>2</v>
      </c>
      <c r="H512" s="2">
        <v>7000</v>
      </c>
      <c r="I512" s="2">
        <v>0</v>
      </c>
      <c r="J512" s="3">
        <f t="shared" si="8"/>
        <v>14000</v>
      </c>
      <c r="K512" s="2" t="str">
        <f>TEXT(Table4[OrderDate], "mmmm")</f>
        <v>July</v>
      </c>
      <c r="L512" s="2">
        <f>IF(C512 = "", 0, IF(COUNTIF($C$2:C512, C512) = 1, 1, 0))</f>
        <v>0</v>
      </c>
    </row>
    <row r="513" spans="1:12" x14ac:dyDescent="0.25">
      <c r="A513" s="2">
        <v>1512</v>
      </c>
      <c r="B513" s="21" t="s">
        <v>25</v>
      </c>
      <c r="C513" s="2" t="s">
        <v>362</v>
      </c>
      <c r="D513" s="2" t="s">
        <v>374</v>
      </c>
      <c r="E513" s="2" t="s">
        <v>381</v>
      </c>
      <c r="F513" s="2" t="s">
        <v>389</v>
      </c>
      <c r="G513" s="2">
        <v>4</v>
      </c>
      <c r="H513" s="2">
        <v>20000</v>
      </c>
      <c r="I513" s="2">
        <v>0</v>
      </c>
      <c r="J513" s="3">
        <f t="shared" si="8"/>
        <v>80000</v>
      </c>
      <c r="K513" s="2" t="str">
        <f>TEXT(Table4[OrderDate], "mmmm")</f>
        <v>March</v>
      </c>
      <c r="L513" s="2">
        <f>IF(C513 = "", 0, IF(COUNTIF($C$2:C513, C513) = 1, 1, 0))</f>
        <v>0</v>
      </c>
    </row>
    <row r="514" spans="1:12" x14ac:dyDescent="0.25">
      <c r="A514" s="2">
        <v>1513</v>
      </c>
      <c r="B514" s="21" t="s">
        <v>139</v>
      </c>
      <c r="C514" s="2" t="s">
        <v>368</v>
      </c>
      <c r="D514" s="2" t="s">
        <v>376</v>
      </c>
      <c r="E514" s="2" t="s">
        <v>382</v>
      </c>
      <c r="F514" s="2" t="s">
        <v>389</v>
      </c>
      <c r="G514" s="2">
        <v>2</v>
      </c>
      <c r="H514" s="2">
        <v>50000</v>
      </c>
      <c r="I514" s="2">
        <v>0.05</v>
      </c>
      <c r="J514" s="3">
        <f t="shared" ref="J514:J577" si="9">H514*(1-I514)*G514</f>
        <v>95000</v>
      </c>
      <c r="K514" s="2" t="str">
        <f>TEXT(Table4[OrderDate], "mmmm")</f>
        <v>April</v>
      </c>
      <c r="L514" s="2">
        <f>IF(C514 = "", 0, IF(COUNTIF($C$2:C514, C514) = 1, 1, 0))</f>
        <v>0</v>
      </c>
    </row>
    <row r="515" spans="1:12" x14ac:dyDescent="0.25">
      <c r="A515" s="2">
        <v>1344</v>
      </c>
      <c r="B515" s="21" t="s">
        <v>81</v>
      </c>
      <c r="C515" s="2" t="s">
        <v>365</v>
      </c>
      <c r="D515" s="2" t="s">
        <v>380</v>
      </c>
      <c r="E515" s="2" t="s">
        <v>388</v>
      </c>
      <c r="F515" s="2" t="s">
        <v>389</v>
      </c>
      <c r="G515" s="2">
        <v>5</v>
      </c>
      <c r="H515" s="2">
        <v>12000</v>
      </c>
      <c r="I515" s="2">
        <v>0.05</v>
      </c>
      <c r="J515" s="3">
        <f t="shared" si="9"/>
        <v>57000</v>
      </c>
      <c r="K515" s="2" t="str">
        <f>TEXT(Table4[OrderDate], "mmmm")</f>
        <v>May</v>
      </c>
      <c r="L515" s="2">
        <f>IF(C515 = "", 0, IF(COUNTIF($C$2:C515, C515) = 1, 1, 0))</f>
        <v>0</v>
      </c>
    </row>
    <row r="516" spans="1:12" x14ac:dyDescent="0.25">
      <c r="A516" s="2">
        <v>1515</v>
      </c>
      <c r="B516" s="21" t="s">
        <v>56</v>
      </c>
      <c r="C516" s="2" t="s">
        <v>366</v>
      </c>
      <c r="D516" s="2" t="s">
        <v>377</v>
      </c>
      <c r="E516" s="2" t="s">
        <v>387</v>
      </c>
      <c r="F516" s="2" t="s">
        <v>391</v>
      </c>
      <c r="G516" s="2">
        <v>4</v>
      </c>
      <c r="H516" s="2">
        <v>3000</v>
      </c>
      <c r="I516" s="2">
        <v>0.05</v>
      </c>
      <c r="J516" s="3">
        <f t="shared" si="9"/>
        <v>11400</v>
      </c>
      <c r="K516" s="2" t="str">
        <f>TEXT(Table4[OrderDate], "mmmm")</f>
        <v>February</v>
      </c>
      <c r="L516" s="2">
        <f>IF(C516 = "", 0, IF(COUNTIF($C$2:C516, C516) = 1, 1, 0))</f>
        <v>0</v>
      </c>
    </row>
    <row r="517" spans="1:12" x14ac:dyDescent="0.25">
      <c r="A517" s="2">
        <v>1516</v>
      </c>
      <c r="B517" s="21" t="s">
        <v>250</v>
      </c>
      <c r="C517" s="2" t="s">
        <v>358</v>
      </c>
      <c r="D517" s="2" t="s">
        <v>378</v>
      </c>
      <c r="E517" s="2" t="s">
        <v>382</v>
      </c>
      <c r="F517" s="2" t="s">
        <v>389</v>
      </c>
      <c r="G517" s="2">
        <v>4</v>
      </c>
      <c r="H517" s="2">
        <v>50000</v>
      </c>
      <c r="I517" s="2">
        <v>0</v>
      </c>
      <c r="J517" s="3">
        <f t="shared" si="9"/>
        <v>200000</v>
      </c>
      <c r="K517" s="2" t="str">
        <f>TEXT(Table4[OrderDate], "mmmm")</f>
        <v>March</v>
      </c>
      <c r="L517" s="2">
        <f>IF(C517 = "", 0, IF(COUNTIF($C$2:C517, C517) = 1, 1, 0))</f>
        <v>0</v>
      </c>
    </row>
    <row r="518" spans="1:12" x14ac:dyDescent="0.25">
      <c r="A518" s="2">
        <v>1517</v>
      </c>
      <c r="B518" s="21" t="s">
        <v>290</v>
      </c>
      <c r="C518" s="2" t="s">
        <v>358</v>
      </c>
      <c r="D518" s="2" t="s">
        <v>373</v>
      </c>
      <c r="E518" s="2" t="s">
        <v>388</v>
      </c>
      <c r="F518" s="2" t="s">
        <v>389</v>
      </c>
      <c r="G518" s="2">
        <v>1</v>
      </c>
      <c r="H518" s="2">
        <v>12000</v>
      </c>
      <c r="I518" s="2">
        <v>0.15</v>
      </c>
      <c r="J518" s="3">
        <f t="shared" si="9"/>
        <v>10200</v>
      </c>
      <c r="K518" s="2" t="str">
        <f>TEXT(Table4[OrderDate], "mmmm")</f>
        <v>December</v>
      </c>
      <c r="L518" s="2">
        <f>IF(C518 = "", 0, IF(COUNTIF($C$2:C518, C518) = 1, 1, 0))</f>
        <v>0</v>
      </c>
    </row>
    <row r="519" spans="1:12" x14ac:dyDescent="0.25">
      <c r="A519" s="2">
        <v>1518</v>
      </c>
      <c r="B519" s="21" t="s">
        <v>141</v>
      </c>
      <c r="C519" s="2" t="s">
        <v>360</v>
      </c>
      <c r="D519" s="2" t="s">
        <v>380</v>
      </c>
      <c r="E519" s="2" t="s">
        <v>385</v>
      </c>
      <c r="F519" s="2" t="s">
        <v>390</v>
      </c>
      <c r="G519" s="2">
        <v>2</v>
      </c>
      <c r="H519" s="2">
        <v>2000</v>
      </c>
      <c r="I519" s="2">
        <v>0.05</v>
      </c>
      <c r="J519" s="3">
        <f t="shared" si="9"/>
        <v>3800</v>
      </c>
      <c r="K519" s="2" t="str">
        <f>TEXT(Table4[OrderDate], "mmmm")</f>
        <v>May</v>
      </c>
      <c r="L519" s="2">
        <f>IF(C519 = "", 0, IF(COUNTIF($C$2:C519, C519) = 1, 1, 0))</f>
        <v>0</v>
      </c>
    </row>
    <row r="520" spans="1:12" x14ac:dyDescent="0.25">
      <c r="A520" s="2">
        <v>1519</v>
      </c>
      <c r="B520" s="21" t="s">
        <v>114</v>
      </c>
      <c r="C520" s="2" t="s">
        <v>370</v>
      </c>
      <c r="D520" s="2" t="s">
        <v>380</v>
      </c>
      <c r="E520" s="2" t="s">
        <v>384</v>
      </c>
      <c r="F520" s="2" t="s">
        <v>389</v>
      </c>
      <c r="G520" s="2">
        <v>1</v>
      </c>
      <c r="H520" s="2">
        <v>30000</v>
      </c>
      <c r="I520" s="2">
        <v>0.05</v>
      </c>
      <c r="J520" s="3">
        <f t="shared" si="9"/>
        <v>28500</v>
      </c>
      <c r="K520" s="2" t="str">
        <f>TEXT(Table4[OrderDate], "mmmm")</f>
        <v>November</v>
      </c>
      <c r="L520" s="2">
        <f>IF(C520 = "", 0, IF(COUNTIF($C$2:C520, C520) = 1, 1, 0))</f>
        <v>0</v>
      </c>
    </row>
    <row r="521" spans="1:12" x14ac:dyDescent="0.25">
      <c r="A521" s="2">
        <v>1413</v>
      </c>
      <c r="B521" s="21" t="s">
        <v>262</v>
      </c>
      <c r="C521" s="2" t="s">
        <v>368</v>
      </c>
      <c r="D521" s="2" t="s">
        <v>379</v>
      </c>
      <c r="E521" s="2" t="s">
        <v>388</v>
      </c>
      <c r="F521" s="2" t="s">
        <v>389</v>
      </c>
      <c r="G521" s="2">
        <v>5</v>
      </c>
      <c r="H521" s="2">
        <v>12000</v>
      </c>
      <c r="I521" s="2">
        <v>0.05</v>
      </c>
      <c r="J521" s="3">
        <f t="shared" si="9"/>
        <v>57000</v>
      </c>
      <c r="K521" s="2" t="str">
        <f>TEXT(Table4[OrderDate], "mmmm")</f>
        <v>June</v>
      </c>
      <c r="L521" s="2">
        <f>IF(C521 = "", 0, IF(COUNTIF($C$2:C521, C521) = 1, 1, 0))</f>
        <v>0</v>
      </c>
    </row>
    <row r="522" spans="1:12" x14ac:dyDescent="0.25">
      <c r="A522" s="2">
        <v>1521</v>
      </c>
      <c r="B522" s="21" t="s">
        <v>93</v>
      </c>
      <c r="C522" s="2" t="s">
        <v>357</v>
      </c>
      <c r="D522" s="2" t="s">
        <v>374</v>
      </c>
      <c r="E522" s="2" t="s">
        <v>383</v>
      </c>
      <c r="F522" s="2" t="s">
        <v>390</v>
      </c>
      <c r="G522" s="2">
        <v>2</v>
      </c>
      <c r="H522" s="2">
        <v>1500</v>
      </c>
      <c r="I522" s="2">
        <v>0.15</v>
      </c>
      <c r="J522" s="3">
        <f t="shared" si="9"/>
        <v>2550</v>
      </c>
      <c r="K522" s="2" t="str">
        <f>TEXT(Table4[OrderDate], "mmmm")</f>
        <v>April</v>
      </c>
      <c r="L522" s="2">
        <f>IF(C522 = "", 0, IF(COUNTIF($C$2:C522, C522) = 1, 1, 0))</f>
        <v>0</v>
      </c>
    </row>
    <row r="523" spans="1:12" x14ac:dyDescent="0.25">
      <c r="A523" s="2">
        <v>1522</v>
      </c>
      <c r="B523" s="21" t="s">
        <v>200</v>
      </c>
      <c r="C523" s="2" t="s">
        <v>367</v>
      </c>
      <c r="D523" s="2" t="s">
        <v>376</v>
      </c>
      <c r="E523" s="2" t="s">
        <v>383</v>
      </c>
      <c r="F523" s="2" t="s">
        <v>390</v>
      </c>
      <c r="G523" s="2">
        <v>3</v>
      </c>
      <c r="H523" s="2">
        <v>1500</v>
      </c>
      <c r="I523" s="2">
        <v>0.15</v>
      </c>
      <c r="J523" s="3">
        <f t="shared" si="9"/>
        <v>3825</v>
      </c>
      <c r="K523" s="2" t="str">
        <f>TEXT(Table4[OrderDate], "mmmm")</f>
        <v>October</v>
      </c>
      <c r="L523" s="2">
        <f>IF(C523 = "", 0, IF(COUNTIF($C$2:C523, C523) = 1, 1, 0))</f>
        <v>0</v>
      </c>
    </row>
    <row r="524" spans="1:12" x14ac:dyDescent="0.25">
      <c r="A524" s="2">
        <v>1523</v>
      </c>
      <c r="B524" s="21" t="s">
        <v>291</v>
      </c>
      <c r="C524" s="2" t="s">
        <v>359</v>
      </c>
      <c r="D524" s="2" t="s">
        <v>376</v>
      </c>
      <c r="E524" s="2" t="s">
        <v>385</v>
      </c>
      <c r="F524" s="2" t="s">
        <v>390</v>
      </c>
      <c r="G524" s="2">
        <v>4</v>
      </c>
      <c r="H524" s="2">
        <v>2000</v>
      </c>
      <c r="I524" s="2">
        <v>0.1</v>
      </c>
      <c r="J524" s="3">
        <f t="shared" si="9"/>
        <v>7200</v>
      </c>
      <c r="K524" s="2" t="str">
        <f>TEXT(Table4[OrderDate], "mmmm")</f>
        <v>April</v>
      </c>
      <c r="L524" s="2">
        <f>IF(C524 = "", 0, IF(COUNTIF($C$2:C524, C524) = 1, 1, 0))</f>
        <v>0</v>
      </c>
    </row>
    <row r="525" spans="1:12" x14ac:dyDescent="0.25">
      <c r="A525" s="2">
        <v>1524</v>
      </c>
      <c r="B525" s="21" t="s">
        <v>292</v>
      </c>
      <c r="C525" s="2" t="s">
        <v>367</v>
      </c>
      <c r="D525" s="2" t="s">
        <v>376</v>
      </c>
      <c r="E525" s="2" t="s">
        <v>387</v>
      </c>
      <c r="F525" s="2" t="s">
        <v>391</v>
      </c>
      <c r="G525" s="2">
        <v>1</v>
      </c>
      <c r="H525" s="2">
        <v>3000</v>
      </c>
      <c r="I525" s="2">
        <v>0.1</v>
      </c>
      <c r="J525" s="3">
        <f t="shared" si="9"/>
        <v>2700</v>
      </c>
      <c r="K525" s="2" t="str">
        <f>TEXT(Table4[OrderDate], "mmmm")</f>
        <v>January</v>
      </c>
      <c r="L525" s="2">
        <f>IF(C525 = "", 0, IF(COUNTIF($C$2:C525, C525) = 1, 1, 0))</f>
        <v>0</v>
      </c>
    </row>
    <row r="526" spans="1:12" x14ac:dyDescent="0.25">
      <c r="A526" s="2">
        <v>1525</v>
      </c>
      <c r="B526" s="21" t="s">
        <v>81</v>
      </c>
      <c r="C526" s="2" t="s">
        <v>357</v>
      </c>
      <c r="D526" s="2" t="s">
        <v>379</v>
      </c>
      <c r="E526" s="2" t="s">
        <v>387</v>
      </c>
      <c r="F526" s="2" t="s">
        <v>391</v>
      </c>
      <c r="G526" s="2">
        <v>2</v>
      </c>
      <c r="H526" s="2">
        <v>3000</v>
      </c>
      <c r="I526" s="2">
        <v>0</v>
      </c>
      <c r="J526" s="3">
        <f t="shared" si="9"/>
        <v>6000</v>
      </c>
      <c r="K526" s="2" t="str">
        <f>TEXT(Table4[OrderDate], "mmmm")</f>
        <v>May</v>
      </c>
      <c r="L526" s="2">
        <f>IF(C526 = "", 0, IF(COUNTIF($C$2:C526, C526) = 1, 1, 0))</f>
        <v>0</v>
      </c>
    </row>
    <row r="527" spans="1:12" x14ac:dyDescent="0.25">
      <c r="A527" s="2">
        <v>1526</v>
      </c>
      <c r="B527" s="21" t="s">
        <v>61</v>
      </c>
      <c r="C527" s="2" t="s">
        <v>369</v>
      </c>
      <c r="D527" s="2" t="s">
        <v>373</v>
      </c>
      <c r="E527" s="2" t="s">
        <v>382</v>
      </c>
      <c r="F527" s="2" t="s">
        <v>389</v>
      </c>
      <c r="G527" s="2">
        <v>2</v>
      </c>
      <c r="H527" s="2">
        <v>50000</v>
      </c>
      <c r="I527" s="2">
        <v>0.15</v>
      </c>
      <c r="J527" s="3">
        <f t="shared" si="9"/>
        <v>85000</v>
      </c>
      <c r="K527" s="2" t="str">
        <f>TEXT(Table4[OrderDate], "mmmm")</f>
        <v>June</v>
      </c>
      <c r="L527" s="2">
        <f>IF(C527 = "", 0, IF(COUNTIF($C$2:C527, C527) = 1, 1, 0))</f>
        <v>0</v>
      </c>
    </row>
    <row r="528" spans="1:12" x14ac:dyDescent="0.25">
      <c r="A528" s="2">
        <v>1446</v>
      </c>
      <c r="B528" s="21" t="s">
        <v>273</v>
      </c>
      <c r="C528" s="2" t="s">
        <v>362</v>
      </c>
      <c r="D528" s="2" t="s">
        <v>375</v>
      </c>
      <c r="E528" s="2" t="s">
        <v>388</v>
      </c>
      <c r="F528" s="2" t="s">
        <v>389</v>
      </c>
      <c r="G528" s="2">
        <v>5</v>
      </c>
      <c r="H528" s="2">
        <v>12000</v>
      </c>
      <c r="I528" s="2">
        <v>0.05</v>
      </c>
      <c r="J528" s="3">
        <f t="shared" si="9"/>
        <v>57000</v>
      </c>
      <c r="K528" s="2" t="str">
        <f>TEXT(Table4[OrderDate], "mmmm")</f>
        <v>August</v>
      </c>
      <c r="L528" s="2">
        <f>IF(C528 = "", 0, IF(COUNTIF($C$2:C528, C528) = 1, 1, 0))</f>
        <v>0</v>
      </c>
    </row>
    <row r="529" spans="1:12" x14ac:dyDescent="0.25">
      <c r="A529" s="2">
        <v>1544</v>
      </c>
      <c r="B529" s="21" t="s">
        <v>21</v>
      </c>
      <c r="C529" s="2" t="s">
        <v>363</v>
      </c>
      <c r="D529" s="2" t="s">
        <v>377</v>
      </c>
      <c r="E529" s="2" t="s">
        <v>388</v>
      </c>
      <c r="F529" s="2" t="s">
        <v>389</v>
      </c>
      <c r="G529" s="2">
        <v>5</v>
      </c>
      <c r="H529" s="2">
        <v>12000</v>
      </c>
      <c r="I529" s="2">
        <v>0.05</v>
      </c>
      <c r="J529" s="3">
        <f t="shared" si="9"/>
        <v>57000</v>
      </c>
      <c r="K529" s="2" t="str">
        <f>TEXT(Table4[OrderDate], "mmmm")</f>
        <v>March</v>
      </c>
      <c r="L529" s="2">
        <f>IF(C529 = "", 0, IF(COUNTIF($C$2:C529, C529) = 1, 1, 0))</f>
        <v>0</v>
      </c>
    </row>
    <row r="530" spans="1:12" x14ac:dyDescent="0.25">
      <c r="A530" s="2">
        <v>1529</v>
      </c>
      <c r="B530" s="21" t="s">
        <v>68</v>
      </c>
      <c r="C530" s="2" t="s">
        <v>365</v>
      </c>
      <c r="D530" s="2" t="s">
        <v>374</v>
      </c>
      <c r="E530" s="2" t="s">
        <v>386</v>
      </c>
      <c r="F530" s="2" t="s">
        <v>391</v>
      </c>
      <c r="G530" s="2">
        <v>2</v>
      </c>
      <c r="H530" s="2">
        <v>7000</v>
      </c>
      <c r="I530" s="2">
        <v>0.15</v>
      </c>
      <c r="J530" s="3">
        <f t="shared" si="9"/>
        <v>11900</v>
      </c>
      <c r="K530" s="2" t="str">
        <f>TEXT(Table4[OrderDate], "mmmm")</f>
        <v>January</v>
      </c>
      <c r="L530" s="2">
        <f>IF(C530 = "", 0, IF(COUNTIF($C$2:C530, C530) = 1, 1, 0))</f>
        <v>0</v>
      </c>
    </row>
    <row r="531" spans="1:12" x14ac:dyDescent="0.25">
      <c r="A531" s="2">
        <v>1849</v>
      </c>
      <c r="B531" s="21" t="s">
        <v>282</v>
      </c>
      <c r="C531" s="2" t="s">
        <v>372</v>
      </c>
      <c r="D531" s="2" t="s">
        <v>375</v>
      </c>
      <c r="E531" s="2" t="s">
        <v>388</v>
      </c>
      <c r="F531" s="2" t="s">
        <v>389</v>
      </c>
      <c r="G531" s="2">
        <v>5</v>
      </c>
      <c r="H531" s="2">
        <v>12000</v>
      </c>
      <c r="I531" s="2">
        <v>0.05</v>
      </c>
      <c r="J531" s="3">
        <f t="shared" si="9"/>
        <v>57000</v>
      </c>
      <c r="K531" s="2" t="str">
        <f>TEXT(Table4[OrderDate], "mmmm")</f>
        <v>August</v>
      </c>
      <c r="L531" s="2">
        <f>IF(C531 = "", 0, IF(COUNTIF($C$2:C531, C531) = 1, 1, 0))</f>
        <v>0</v>
      </c>
    </row>
    <row r="532" spans="1:12" x14ac:dyDescent="0.25">
      <c r="A532" s="2">
        <v>1866</v>
      </c>
      <c r="B532" s="21" t="s">
        <v>276</v>
      </c>
      <c r="C532" s="2" t="s">
        <v>361</v>
      </c>
      <c r="D532" s="2" t="s">
        <v>375</v>
      </c>
      <c r="E532" s="2" t="s">
        <v>388</v>
      </c>
      <c r="F532" s="2" t="s">
        <v>389</v>
      </c>
      <c r="G532" s="2">
        <v>5</v>
      </c>
      <c r="H532" s="2">
        <v>12000</v>
      </c>
      <c r="I532" s="2">
        <v>0.05</v>
      </c>
      <c r="J532" s="3">
        <f t="shared" si="9"/>
        <v>57000</v>
      </c>
      <c r="K532" s="2" t="str">
        <f>TEXT(Table4[OrderDate], "mmmm")</f>
        <v>April</v>
      </c>
      <c r="L532" s="2">
        <f>IF(C532 = "", 0, IF(COUNTIF($C$2:C532, C532) = 1, 1, 0))</f>
        <v>0</v>
      </c>
    </row>
    <row r="533" spans="1:12" x14ac:dyDescent="0.25">
      <c r="A533" s="2">
        <v>1532</v>
      </c>
      <c r="B533" s="21" t="s">
        <v>294</v>
      </c>
      <c r="C533" s="2" t="s">
        <v>361</v>
      </c>
      <c r="D533" s="2" t="s">
        <v>377</v>
      </c>
      <c r="E533" s="2" t="s">
        <v>385</v>
      </c>
      <c r="F533" s="2" t="s">
        <v>390</v>
      </c>
      <c r="G533" s="2">
        <v>1</v>
      </c>
      <c r="H533" s="2">
        <v>2000</v>
      </c>
      <c r="I533" s="2">
        <v>0</v>
      </c>
      <c r="J533" s="3">
        <f t="shared" si="9"/>
        <v>2000</v>
      </c>
      <c r="K533" s="2" t="str">
        <f>TEXT(Table4[OrderDate], "mmmm")</f>
        <v>March</v>
      </c>
      <c r="L533" s="2">
        <f>IF(C533 = "", 0, IF(COUNTIF($C$2:C533, C533) = 1, 1, 0))</f>
        <v>0</v>
      </c>
    </row>
    <row r="534" spans="1:12" x14ac:dyDescent="0.25">
      <c r="A534" s="2">
        <v>1533</v>
      </c>
      <c r="B534" s="21" t="s">
        <v>266</v>
      </c>
      <c r="C534" s="2" t="s">
        <v>368</v>
      </c>
      <c r="D534" s="2" t="s">
        <v>377</v>
      </c>
      <c r="E534" s="2" t="s">
        <v>385</v>
      </c>
      <c r="F534" s="2" t="s">
        <v>390</v>
      </c>
      <c r="G534" s="2">
        <v>1</v>
      </c>
      <c r="H534" s="2">
        <v>2000</v>
      </c>
      <c r="I534" s="2">
        <v>0.1</v>
      </c>
      <c r="J534" s="3">
        <f t="shared" si="9"/>
        <v>1800</v>
      </c>
      <c r="K534" s="2" t="str">
        <f>TEXT(Table4[OrderDate], "mmmm")</f>
        <v>December</v>
      </c>
      <c r="L534" s="2">
        <f>IF(C534 = "", 0, IF(COUNTIF($C$2:C534, C534) = 1, 1, 0))</f>
        <v>0</v>
      </c>
    </row>
    <row r="535" spans="1:12" x14ac:dyDescent="0.25">
      <c r="A535" s="2">
        <v>1534</v>
      </c>
      <c r="B535" s="21" t="s">
        <v>199</v>
      </c>
      <c r="C535" s="2" t="s">
        <v>369</v>
      </c>
      <c r="D535" s="2" t="s">
        <v>378</v>
      </c>
      <c r="E535" s="2" t="s">
        <v>385</v>
      </c>
      <c r="F535" s="2" t="s">
        <v>390</v>
      </c>
      <c r="G535" s="2">
        <v>3</v>
      </c>
      <c r="H535" s="2">
        <v>2000</v>
      </c>
      <c r="I535" s="2">
        <v>0.1</v>
      </c>
      <c r="J535" s="3">
        <f t="shared" si="9"/>
        <v>5400</v>
      </c>
      <c r="K535" s="2" t="str">
        <f>TEXT(Table4[OrderDate], "mmmm")</f>
        <v>March</v>
      </c>
      <c r="L535" s="2">
        <f>IF(C535 = "", 0, IF(COUNTIF($C$2:C535, C535) = 1, 1, 0))</f>
        <v>0</v>
      </c>
    </row>
    <row r="536" spans="1:12" x14ac:dyDescent="0.25">
      <c r="A536" s="2">
        <v>1535</v>
      </c>
      <c r="B536" s="21" t="s">
        <v>70</v>
      </c>
      <c r="C536" s="2" t="s">
        <v>364</v>
      </c>
      <c r="D536" s="2" t="s">
        <v>375</v>
      </c>
      <c r="E536" s="2" t="s">
        <v>388</v>
      </c>
      <c r="F536" s="2" t="s">
        <v>389</v>
      </c>
      <c r="G536" s="2">
        <v>3</v>
      </c>
      <c r="H536" s="2">
        <v>12000</v>
      </c>
      <c r="I536" s="2">
        <v>0.05</v>
      </c>
      <c r="J536" s="3">
        <f t="shared" si="9"/>
        <v>34200</v>
      </c>
      <c r="K536" s="2" t="str">
        <f>TEXT(Table4[OrderDate], "mmmm")</f>
        <v>December</v>
      </c>
      <c r="L536" s="2">
        <f>IF(C536 = "", 0, IF(COUNTIF($C$2:C536, C536) = 1, 1, 0))</f>
        <v>0</v>
      </c>
    </row>
    <row r="537" spans="1:12" x14ac:dyDescent="0.25">
      <c r="A537" s="2">
        <v>1536</v>
      </c>
      <c r="B537" s="21" t="s">
        <v>111</v>
      </c>
      <c r="C537" s="2" t="s">
        <v>370</v>
      </c>
      <c r="D537" s="2" t="s">
        <v>373</v>
      </c>
      <c r="E537" s="2" t="s">
        <v>384</v>
      </c>
      <c r="F537" s="2" t="s">
        <v>389</v>
      </c>
      <c r="G537" s="2">
        <v>4</v>
      </c>
      <c r="H537" s="2">
        <v>30000</v>
      </c>
      <c r="I537" s="2">
        <v>0.1</v>
      </c>
      <c r="J537" s="3">
        <f t="shared" si="9"/>
        <v>108000</v>
      </c>
      <c r="K537" s="2" t="str">
        <f>TEXT(Table4[OrderDate], "mmmm")</f>
        <v>December</v>
      </c>
      <c r="L537" s="2">
        <f>IF(C537 = "", 0, IF(COUNTIF($C$2:C537, C537) = 1, 1, 0))</f>
        <v>0</v>
      </c>
    </row>
    <row r="538" spans="1:12" x14ac:dyDescent="0.25">
      <c r="A538" s="2">
        <v>1537</v>
      </c>
      <c r="B538" s="21" t="s">
        <v>295</v>
      </c>
      <c r="C538" s="2" t="s">
        <v>372</v>
      </c>
      <c r="D538" s="2" t="s">
        <v>373</v>
      </c>
      <c r="E538" s="2" t="s">
        <v>384</v>
      </c>
      <c r="F538" s="2" t="s">
        <v>389</v>
      </c>
      <c r="G538" s="2">
        <v>1</v>
      </c>
      <c r="H538" s="2">
        <v>30000</v>
      </c>
      <c r="I538" s="2">
        <v>0.15</v>
      </c>
      <c r="J538" s="3">
        <f t="shared" si="9"/>
        <v>25500</v>
      </c>
      <c r="K538" s="2" t="str">
        <f>TEXT(Table4[OrderDate], "mmmm")</f>
        <v>October</v>
      </c>
      <c r="L538" s="2">
        <f>IF(C538 = "", 0, IF(COUNTIF($C$2:C538, C538) = 1, 1, 0))</f>
        <v>0</v>
      </c>
    </row>
    <row r="539" spans="1:12" x14ac:dyDescent="0.25">
      <c r="A539" s="2">
        <v>1973</v>
      </c>
      <c r="B539" s="21" t="s">
        <v>15</v>
      </c>
      <c r="C539" s="2" t="s">
        <v>368</v>
      </c>
      <c r="D539" s="2" t="s">
        <v>380</v>
      </c>
      <c r="E539" s="2" t="s">
        <v>388</v>
      </c>
      <c r="F539" s="2" t="s">
        <v>389</v>
      </c>
      <c r="G539" s="2">
        <v>5</v>
      </c>
      <c r="H539" s="2">
        <v>12000</v>
      </c>
      <c r="I539" s="2">
        <v>0.05</v>
      </c>
      <c r="J539" s="3">
        <f t="shared" si="9"/>
        <v>57000</v>
      </c>
      <c r="K539" s="2" t="str">
        <f>TEXT(Table4[OrderDate], "mmmm")</f>
        <v>July</v>
      </c>
      <c r="L539" s="2">
        <f>IF(C539 = "", 0, IF(COUNTIF($C$2:C539, C539) = 1, 1, 0))</f>
        <v>0</v>
      </c>
    </row>
    <row r="540" spans="1:12" x14ac:dyDescent="0.25">
      <c r="A540" s="2">
        <v>1539</v>
      </c>
      <c r="B540" s="21" t="s">
        <v>244</v>
      </c>
      <c r="C540" s="2" t="s">
        <v>364</v>
      </c>
      <c r="D540" s="2" t="s">
        <v>376</v>
      </c>
      <c r="E540" s="2" t="s">
        <v>384</v>
      </c>
      <c r="F540" s="2" t="s">
        <v>389</v>
      </c>
      <c r="G540" s="2">
        <v>3</v>
      </c>
      <c r="H540" s="2">
        <v>30000</v>
      </c>
      <c r="I540" s="2">
        <v>0</v>
      </c>
      <c r="J540" s="3">
        <f t="shared" si="9"/>
        <v>90000</v>
      </c>
      <c r="K540" s="2" t="str">
        <f>TEXT(Table4[OrderDate], "mmmm")</f>
        <v>May</v>
      </c>
      <c r="L540" s="2">
        <f>IF(C540 = "", 0, IF(COUNTIF($C$2:C540, C540) = 1, 1, 0))</f>
        <v>0</v>
      </c>
    </row>
    <row r="541" spans="1:12" x14ac:dyDescent="0.25">
      <c r="A541" s="2">
        <v>1540</v>
      </c>
      <c r="B541" s="21" t="s">
        <v>232</v>
      </c>
      <c r="C541" s="2" t="s">
        <v>359</v>
      </c>
      <c r="D541" s="2" t="s">
        <v>379</v>
      </c>
      <c r="E541" s="2" t="s">
        <v>384</v>
      </c>
      <c r="F541" s="2" t="s">
        <v>389</v>
      </c>
      <c r="G541" s="2">
        <v>1</v>
      </c>
      <c r="H541" s="2">
        <v>30000</v>
      </c>
      <c r="I541" s="2">
        <v>0.1</v>
      </c>
      <c r="J541" s="3">
        <f t="shared" si="9"/>
        <v>27000</v>
      </c>
      <c r="K541" s="2" t="str">
        <f>TEXT(Table4[OrderDate], "mmmm")</f>
        <v>August</v>
      </c>
      <c r="L541" s="2">
        <f>IF(C541 = "", 0, IF(COUNTIF($C$2:C541, C541) = 1, 1, 0))</f>
        <v>0</v>
      </c>
    </row>
    <row r="542" spans="1:12" x14ac:dyDescent="0.25">
      <c r="A542" s="2">
        <v>1541</v>
      </c>
      <c r="B542" s="21" t="s">
        <v>92</v>
      </c>
      <c r="C542" s="2" t="s">
        <v>360</v>
      </c>
      <c r="D542" s="2" t="s">
        <v>377</v>
      </c>
      <c r="E542" s="2" t="s">
        <v>387</v>
      </c>
      <c r="F542" s="2" t="s">
        <v>391</v>
      </c>
      <c r="G542" s="2">
        <v>2</v>
      </c>
      <c r="H542" s="2">
        <v>3000</v>
      </c>
      <c r="I542" s="2">
        <v>0</v>
      </c>
      <c r="J542" s="3">
        <f t="shared" si="9"/>
        <v>6000</v>
      </c>
      <c r="K542" s="2" t="str">
        <f>TEXT(Table4[OrderDate], "mmmm")</f>
        <v>June</v>
      </c>
      <c r="L542" s="2">
        <f>IF(C542 = "", 0, IF(COUNTIF($C$2:C542, C542) = 1, 1, 0))</f>
        <v>0</v>
      </c>
    </row>
    <row r="543" spans="1:12" x14ac:dyDescent="0.25">
      <c r="A543" s="2">
        <v>1542</v>
      </c>
      <c r="B543" s="21" t="s">
        <v>116</v>
      </c>
      <c r="C543" s="2" t="s">
        <v>358</v>
      </c>
      <c r="D543" s="2" t="s">
        <v>373</v>
      </c>
      <c r="E543" s="2" t="s">
        <v>382</v>
      </c>
      <c r="F543" s="2" t="s">
        <v>389</v>
      </c>
      <c r="G543" s="2">
        <v>1</v>
      </c>
      <c r="H543" s="2">
        <v>50000</v>
      </c>
      <c r="I543" s="2">
        <v>0.15</v>
      </c>
      <c r="J543" s="3">
        <f t="shared" si="9"/>
        <v>42500</v>
      </c>
      <c r="K543" s="2" t="str">
        <f>TEXT(Table4[OrderDate], "mmmm")</f>
        <v>August</v>
      </c>
      <c r="L543" s="2">
        <f>IF(C543 = "", 0, IF(COUNTIF($C$2:C543, C543) = 1, 1, 0))</f>
        <v>0</v>
      </c>
    </row>
    <row r="544" spans="1:12" x14ac:dyDescent="0.25">
      <c r="A544" s="2">
        <v>1543</v>
      </c>
      <c r="B544" s="21" t="s">
        <v>92</v>
      </c>
      <c r="C544" s="2" t="s">
        <v>368</v>
      </c>
      <c r="D544" s="2" t="s">
        <v>377</v>
      </c>
      <c r="E544" s="2" t="s">
        <v>383</v>
      </c>
      <c r="F544" s="2" t="s">
        <v>390</v>
      </c>
      <c r="G544" s="2">
        <v>4</v>
      </c>
      <c r="H544" s="2">
        <v>1500</v>
      </c>
      <c r="I544" s="2">
        <v>0.15</v>
      </c>
      <c r="J544" s="3">
        <f t="shared" si="9"/>
        <v>5100</v>
      </c>
      <c r="K544" s="2" t="str">
        <f>TEXT(Table4[OrderDate], "mmmm")</f>
        <v>June</v>
      </c>
      <c r="L544" s="2">
        <f>IF(C544 = "", 0, IF(COUNTIF($C$2:C544, C544) = 1, 1, 0))</f>
        <v>0</v>
      </c>
    </row>
    <row r="545" spans="1:12" x14ac:dyDescent="0.25">
      <c r="A545" s="2">
        <v>1225</v>
      </c>
      <c r="B545" s="21" t="s">
        <v>17</v>
      </c>
      <c r="C545" s="2" t="s">
        <v>366</v>
      </c>
      <c r="D545" s="2" t="s">
        <v>373</v>
      </c>
      <c r="E545" s="2" t="s">
        <v>388</v>
      </c>
      <c r="F545" s="2" t="s">
        <v>389</v>
      </c>
      <c r="G545" s="2">
        <v>5</v>
      </c>
      <c r="H545" s="2">
        <v>12000</v>
      </c>
      <c r="I545" s="2">
        <v>0.1</v>
      </c>
      <c r="J545" s="3">
        <f t="shared" si="9"/>
        <v>54000</v>
      </c>
      <c r="K545" s="2" t="str">
        <f>TEXT(Table4[OrderDate], "mmmm")</f>
        <v>November</v>
      </c>
      <c r="L545" s="2">
        <f>IF(C545 = "", 0, IF(COUNTIF($C$2:C545, C545) = 1, 1, 0))</f>
        <v>0</v>
      </c>
    </row>
    <row r="546" spans="1:12" x14ac:dyDescent="0.25">
      <c r="A546" s="2">
        <v>1545</v>
      </c>
      <c r="B546" s="21" t="s">
        <v>297</v>
      </c>
      <c r="C546" s="2" t="s">
        <v>360</v>
      </c>
      <c r="D546" s="2" t="s">
        <v>377</v>
      </c>
      <c r="E546" s="2" t="s">
        <v>382</v>
      </c>
      <c r="F546" s="2" t="s">
        <v>389</v>
      </c>
      <c r="G546" s="2">
        <v>3</v>
      </c>
      <c r="H546" s="2">
        <v>50000</v>
      </c>
      <c r="I546" s="2">
        <v>0</v>
      </c>
      <c r="J546" s="3">
        <f t="shared" si="9"/>
        <v>150000</v>
      </c>
      <c r="K546" s="2" t="str">
        <f>TEXT(Table4[OrderDate], "mmmm")</f>
        <v>June</v>
      </c>
      <c r="L546" s="2">
        <f>IF(C546 = "", 0, IF(COUNTIF($C$2:C546, C546) = 1, 1, 0))</f>
        <v>0</v>
      </c>
    </row>
    <row r="547" spans="1:12" x14ac:dyDescent="0.25">
      <c r="A547" s="2">
        <v>1546</v>
      </c>
      <c r="B547" s="21" t="s">
        <v>298</v>
      </c>
      <c r="C547" s="2" t="s">
        <v>369</v>
      </c>
      <c r="D547" s="2" t="s">
        <v>377</v>
      </c>
      <c r="E547" s="2" t="s">
        <v>381</v>
      </c>
      <c r="F547" s="2" t="s">
        <v>389</v>
      </c>
      <c r="G547" s="2">
        <v>3</v>
      </c>
      <c r="H547" s="2">
        <v>20000</v>
      </c>
      <c r="I547" s="2">
        <v>0.05</v>
      </c>
      <c r="J547" s="3">
        <f t="shared" si="9"/>
        <v>57000</v>
      </c>
      <c r="K547" s="2" t="str">
        <f>TEXT(Table4[OrderDate], "mmmm")</f>
        <v>July</v>
      </c>
      <c r="L547" s="2">
        <f>IF(C547 = "", 0, IF(COUNTIF($C$2:C547, C547) = 1, 1, 0))</f>
        <v>0</v>
      </c>
    </row>
    <row r="548" spans="1:12" x14ac:dyDescent="0.25">
      <c r="A548" s="2">
        <v>1547</v>
      </c>
      <c r="B548" s="21" t="s">
        <v>266</v>
      </c>
      <c r="C548" s="2" t="s">
        <v>359</v>
      </c>
      <c r="D548" s="2" t="s">
        <v>378</v>
      </c>
      <c r="E548" s="2" t="s">
        <v>381</v>
      </c>
      <c r="F548" s="2" t="s">
        <v>389</v>
      </c>
      <c r="G548" s="2">
        <v>3</v>
      </c>
      <c r="H548" s="2">
        <v>20000</v>
      </c>
      <c r="I548" s="2">
        <v>0.15</v>
      </c>
      <c r="J548" s="3">
        <f t="shared" si="9"/>
        <v>51000</v>
      </c>
      <c r="K548" s="2" t="str">
        <f>TEXT(Table4[OrderDate], "mmmm")</f>
        <v>December</v>
      </c>
      <c r="L548" s="2">
        <f>IF(C548 = "", 0, IF(COUNTIF($C$2:C548, C548) = 1, 1, 0))</f>
        <v>0</v>
      </c>
    </row>
    <row r="549" spans="1:12" x14ac:dyDescent="0.25">
      <c r="A549" s="2">
        <v>1243</v>
      </c>
      <c r="B549" s="21" t="s">
        <v>190</v>
      </c>
      <c r="C549" s="2" t="s">
        <v>357</v>
      </c>
      <c r="D549" s="2" t="s">
        <v>375</v>
      </c>
      <c r="E549" s="2" t="s">
        <v>388</v>
      </c>
      <c r="F549" s="2" t="s">
        <v>389</v>
      </c>
      <c r="G549" s="2">
        <v>5</v>
      </c>
      <c r="H549" s="2">
        <v>12000</v>
      </c>
      <c r="I549" s="2">
        <v>0.1</v>
      </c>
      <c r="J549" s="3">
        <f t="shared" si="9"/>
        <v>54000</v>
      </c>
      <c r="K549" s="2" t="str">
        <f>TEXT(Table4[OrderDate], "mmmm")</f>
        <v>August</v>
      </c>
      <c r="L549" s="2">
        <f>IF(C549 = "", 0, IF(COUNTIF($C$2:C549, C549) = 1, 1, 0))</f>
        <v>0</v>
      </c>
    </row>
    <row r="550" spans="1:12" x14ac:dyDescent="0.25">
      <c r="A550" s="2">
        <v>1549</v>
      </c>
      <c r="B550" s="21" t="s">
        <v>129</v>
      </c>
      <c r="C550" s="2" t="s">
        <v>360</v>
      </c>
      <c r="D550" s="2" t="s">
        <v>379</v>
      </c>
      <c r="E550" s="2" t="s">
        <v>385</v>
      </c>
      <c r="F550" s="2" t="s">
        <v>390</v>
      </c>
      <c r="G550" s="2">
        <v>2</v>
      </c>
      <c r="H550" s="2">
        <v>2000</v>
      </c>
      <c r="I550" s="2">
        <v>0.05</v>
      </c>
      <c r="J550" s="3">
        <f t="shared" si="9"/>
        <v>3800</v>
      </c>
      <c r="K550" s="2" t="str">
        <f>TEXT(Table4[OrderDate], "mmmm")</f>
        <v>July</v>
      </c>
      <c r="L550" s="2">
        <f>IF(C550 = "", 0, IF(COUNTIF($C$2:C550, C550) = 1, 1, 0))</f>
        <v>0</v>
      </c>
    </row>
    <row r="551" spans="1:12" x14ac:dyDescent="0.25">
      <c r="A551" s="2">
        <v>1550</v>
      </c>
      <c r="B551" s="21" t="s">
        <v>46</v>
      </c>
      <c r="C551" s="2" t="s">
        <v>368</v>
      </c>
      <c r="D551" s="2" t="s">
        <v>380</v>
      </c>
      <c r="E551" s="2" t="s">
        <v>386</v>
      </c>
      <c r="F551" s="2" t="s">
        <v>391</v>
      </c>
      <c r="G551" s="2">
        <v>2</v>
      </c>
      <c r="H551" s="2">
        <v>7000</v>
      </c>
      <c r="I551" s="2">
        <v>0</v>
      </c>
      <c r="J551" s="3">
        <f t="shared" si="9"/>
        <v>14000</v>
      </c>
      <c r="K551" s="2" t="str">
        <f>TEXT(Table4[OrderDate], "mmmm")</f>
        <v>January</v>
      </c>
      <c r="L551" s="2">
        <f>IF(C551 = "", 0, IF(COUNTIF($C$2:C551, C551) = 1, 1, 0))</f>
        <v>0</v>
      </c>
    </row>
    <row r="552" spans="1:12" x14ac:dyDescent="0.25">
      <c r="A552" s="2">
        <v>1551</v>
      </c>
      <c r="B552" s="21" t="s">
        <v>237</v>
      </c>
      <c r="C552" s="2" t="s">
        <v>358</v>
      </c>
      <c r="D552" s="2" t="s">
        <v>377</v>
      </c>
      <c r="E552" s="2" t="s">
        <v>384</v>
      </c>
      <c r="F552" s="2" t="s">
        <v>389</v>
      </c>
      <c r="G552" s="2">
        <v>1</v>
      </c>
      <c r="H552" s="2">
        <v>30000</v>
      </c>
      <c r="I552" s="2">
        <v>0.1</v>
      </c>
      <c r="J552" s="3">
        <f t="shared" si="9"/>
        <v>27000</v>
      </c>
      <c r="K552" s="2" t="str">
        <f>TEXT(Table4[OrderDate], "mmmm")</f>
        <v>January</v>
      </c>
      <c r="L552" s="2">
        <f>IF(C552 = "", 0, IF(COUNTIF($C$2:C552, C552) = 1, 1, 0))</f>
        <v>0</v>
      </c>
    </row>
    <row r="553" spans="1:12" x14ac:dyDescent="0.25">
      <c r="A553" s="2">
        <v>1286</v>
      </c>
      <c r="B553" s="21" t="s">
        <v>210</v>
      </c>
      <c r="C553" s="2" t="s">
        <v>369</v>
      </c>
      <c r="D553" s="2" t="s">
        <v>373</v>
      </c>
      <c r="E553" s="2" t="s">
        <v>388</v>
      </c>
      <c r="F553" s="2" t="s">
        <v>389</v>
      </c>
      <c r="G553" s="2">
        <v>5</v>
      </c>
      <c r="H553" s="2">
        <v>12000</v>
      </c>
      <c r="I553" s="2">
        <v>0.1</v>
      </c>
      <c r="J553" s="3">
        <f t="shared" si="9"/>
        <v>54000</v>
      </c>
      <c r="K553" s="2" t="str">
        <f>TEXT(Table4[OrderDate], "mmmm")</f>
        <v>March</v>
      </c>
      <c r="L553" s="2">
        <f>IF(C553 = "", 0, IF(COUNTIF($C$2:C553, C553) = 1, 1, 0))</f>
        <v>0</v>
      </c>
    </row>
    <row r="554" spans="1:12" x14ac:dyDescent="0.25">
      <c r="A554" s="2">
        <v>1553</v>
      </c>
      <c r="B554" s="21" t="s">
        <v>299</v>
      </c>
      <c r="C554" s="2" t="s">
        <v>367</v>
      </c>
      <c r="D554" s="2" t="s">
        <v>377</v>
      </c>
      <c r="E554" s="2" t="s">
        <v>387</v>
      </c>
      <c r="F554" s="2" t="s">
        <v>391</v>
      </c>
      <c r="G554" s="2">
        <v>2</v>
      </c>
      <c r="H554" s="2">
        <v>3000</v>
      </c>
      <c r="I554" s="2">
        <v>0.1</v>
      </c>
      <c r="J554" s="3">
        <f t="shared" si="9"/>
        <v>5400</v>
      </c>
      <c r="K554" s="2" t="str">
        <f>TEXT(Table4[OrderDate], "mmmm")</f>
        <v>February</v>
      </c>
      <c r="L554" s="2">
        <f>IF(C554 = "", 0, IF(COUNTIF($C$2:C554, C554) = 1, 1, 0))</f>
        <v>0</v>
      </c>
    </row>
    <row r="555" spans="1:12" x14ac:dyDescent="0.25">
      <c r="A555" s="2">
        <v>1554</v>
      </c>
      <c r="B555" s="21" t="s">
        <v>96</v>
      </c>
      <c r="C555" s="2" t="s">
        <v>360</v>
      </c>
      <c r="D555" s="2" t="s">
        <v>377</v>
      </c>
      <c r="E555" s="2" t="s">
        <v>386</v>
      </c>
      <c r="F555" s="2" t="s">
        <v>391</v>
      </c>
      <c r="G555" s="2">
        <v>4</v>
      </c>
      <c r="H555" s="2">
        <v>7000</v>
      </c>
      <c r="I555" s="2">
        <v>0.15</v>
      </c>
      <c r="J555" s="3">
        <f t="shared" si="9"/>
        <v>23800</v>
      </c>
      <c r="K555" s="2" t="str">
        <f>TEXT(Table4[OrderDate], "mmmm")</f>
        <v>September</v>
      </c>
      <c r="L555" s="2">
        <f>IF(C555 = "", 0, IF(COUNTIF($C$2:C555, C555) = 1, 1, 0))</f>
        <v>0</v>
      </c>
    </row>
    <row r="556" spans="1:12" x14ac:dyDescent="0.25">
      <c r="A556" s="2">
        <v>1555</v>
      </c>
      <c r="B556" s="21" t="s">
        <v>239</v>
      </c>
      <c r="C556" s="2" t="s">
        <v>364</v>
      </c>
      <c r="D556" s="2" t="s">
        <v>373</v>
      </c>
      <c r="E556" s="2" t="s">
        <v>383</v>
      </c>
      <c r="F556" s="2" t="s">
        <v>390</v>
      </c>
      <c r="G556" s="2">
        <v>2</v>
      </c>
      <c r="H556" s="2">
        <v>1500</v>
      </c>
      <c r="I556" s="2">
        <v>0.1</v>
      </c>
      <c r="J556" s="3">
        <f t="shared" si="9"/>
        <v>2700</v>
      </c>
      <c r="K556" s="2" t="str">
        <f>TEXT(Table4[OrderDate], "mmmm")</f>
        <v>July</v>
      </c>
      <c r="L556" s="2">
        <f>IF(C556 = "", 0, IF(COUNTIF($C$2:C556, C556) = 1, 1, 0))</f>
        <v>0</v>
      </c>
    </row>
    <row r="557" spans="1:12" x14ac:dyDescent="0.25">
      <c r="A557" s="2">
        <v>1556</v>
      </c>
      <c r="B557" s="21" t="s">
        <v>282</v>
      </c>
      <c r="C557" s="2" t="s">
        <v>363</v>
      </c>
      <c r="D557" s="2" t="s">
        <v>379</v>
      </c>
      <c r="E557" s="2" t="s">
        <v>388</v>
      </c>
      <c r="F557" s="2" t="s">
        <v>389</v>
      </c>
      <c r="G557" s="2">
        <v>1</v>
      </c>
      <c r="H557" s="2">
        <v>12000</v>
      </c>
      <c r="I557" s="2">
        <v>0.1</v>
      </c>
      <c r="J557" s="3">
        <f t="shared" si="9"/>
        <v>10800</v>
      </c>
      <c r="K557" s="2" t="str">
        <f>TEXT(Table4[OrderDate], "mmmm")</f>
        <v>August</v>
      </c>
      <c r="L557" s="2">
        <f>IF(C557 = "", 0, IF(COUNTIF($C$2:C557, C557) = 1, 1, 0))</f>
        <v>0</v>
      </c>
    </row>
    <row r="558" spans="1:12" x14ac:dyDescent="0.25">
      <c r="A558" s="2">
        <v>1557</v>
      </c>
      <c r="B558" s="21" t="s">
        <v>300</v>
      </c>
      <c r="C558" s="2" t="s">
        <v>362</v>
      </c>
      <c r="D558" s="2" t="s">
        <v>377</v>
      </c>
      <c r="E558" s="2" t="s">
        <v>387</v>
      </c>
      <c r="F558" s="2" t="s">
        <v>391</v>
      </c>
      <c r="G558" s="2">
        <v>3</v>
      </c>
      <c r="H558" s="2">
        <v>3000</v>
      </c>
      <c r="I558" s="2">
        <v>0</v>
      </c>
      <c r="J558" s="3">
        <f t="shared" si="9"/>
        <v>9000</v>
      </c>
      <c r="K558" s="2" t="str">
        <f>TEXT(Table4[OrderDate], "mmmm")</f>
        <v>March</v>
      </c>
      <c r="L558" s="2">
        <f>IF(C558 = "", 0, IF(COUNTIF($C$2:C558, C558) = 1, 1, 0))</f>
        <v>0</v>
      </c>
    </row>
    <row r="559" spans="1:12" x14ac:dyDescent="0.25">
      <c r="A559" s="2">
        <v>1488</v>
      </c>
      <c r="B559" s="21" t="s">
        <v>235</v>
      </c>
      <c r="C559" s="2" t="s">
        <v>367</v>
      </c>
      <c r="D559" s="2" t="s">
        <v>373</v>
      </c>
      <c r="E559" s="2" t="s">
        <v>388</v>
      </c>
      <c r="F559" s="2" t="s">
        <v>389</v>
      </c>
      <c r="G559" s="2">
        <v>5</v>
      </c>
      <c r="H559" s="2">
        <v>12000</v>
      </c>
      <c r="I559" s="2">
        <v>0.1</v>
      </c>
      <c r="J559" s="3">
        <f t="shared" si="9"/>
        <v>54000</v>
      </c>
      <c r="K559" s="2" t="str">
        <f>TEXT(Table4[OrderDate], "mmmm")</f>
        <v>January</v>
      </c>
      <c r="L559" s="2">
        <f>IF(C559 = "", 0, IF(COUNTIF($C$2:C559, C559) = 1, 1, 0))</f>
        <v>0</v>
      </c>
    </row>
    <row r="560" spans="1:12" x14ac:dyDescent="0.25">
      <c r="A560" s="2">
        <v>1579</v>
      </c>
      <c r="B560" s="21" t="s">
        <v>303</v>
      </c>
      <c r="C560" s="2" t="s">
        <v>369</v>
      </c>
      <c r="D560" s="2" t="s">
        <v>379</v>
      </c>
      <c r="E560" s="2" t="s">
        <v>388</v>
      </c>
      <c r="F560" s="2" t="s">
        <v>389</v>
      </c>
      <c r="G560" s="2">
        <v>5</v>
      </c>
      <c r="H560" s="2">
        <v>12000</v>
      </c>
      <c r="I560" s="2">
        <v>0.1</v>
      </c>
      <c r="J560" s="3">
        <f t="shared" si="9"/>
        <v>54000</v>
      </c>
      <c r="K560" s="2" t="str">
        <f>TEXT(Table4[OrderDate], "mmmm")</f>
        <v>June</v>
      </c>
      <c r="L560" s="2">
        <f>IF(C560 = "", 0, IF(COUNTIF($C$2:C560, C560) = 1, 1, 0))</f>
        <v>0</v>
      </c>
    </row>
    <row r="561" spans="1:12" x14ac:dyDescent="0.25">
      <c r="A561" s="2">
        <v>1560</v>
      </c>
      <c r="B561" s="21" t="s">
        <v>289</v>
      </c>
      <c r="C561" s="2" t="s">
        <v>372</v>
      </c>
      <c r="D561" s="2" t="s">
        <v>373</v>
      </c>
      <c r="E561" s="2" t="s">
        <v>388</v>
      </c>
      <c r="F561" s="2" t="s">
        <v>389</v>
      </c>
      <c r="G561" s="2">
        <v>3</v>
      </c>
      <c r="H561" s="2">
        <v>12000</v>
      </c>
      <c r="I561" s="2">
        <v>0</v>
      </c>
      <c r="J561" s="3">
        <f t="shared" si="9"/>
        <v>36000</v>
      </c>
      <c r="K561" s="2" t="str">
        <f>TEXT(Table4[OrderDate], "mmmm")</f>
        <v>July</v>
      </c>
      <c r="L561" s="2">
        <f>IF(C561 = "", 0, IF(COUNTIF($C$2:C561, C561) = 1, 1, 0))</f>
        <v>0</v>
      </c>
    </row>
    <row r="562" spans="1:12" x14ac:dyDescent="0.25">
      <c r="A562" s="2">
        <v>1561</v>
      </c>
      <c r="B562" s="21" t="s">
        <v>43</v>
      </c>
      <c r="C562" s="2" t="s">
        <v>371</v>
      </c>
      <c r="D562" s="2" t="s">
        <v>375</v>
      </c>
      <c r="E562" s="2" t="s">
        <v>381</v>
      </c>
      <c r="F562" s="2" t="s">
        <v>389</v>
      </c>
      <c r="G562" s="2">
        <v>4</v>
      </c>
      <c r="H562" s="2">
        <v>20000</v>
      </c>
      <c r="I562" s="2">
        <v>0.05</v>
      </c>
      <c r="J562" s="3">
        <f t="shared" si="9"/>
        <v>76000</v>
      </c>
      <c r="K562" s="2" t="str">
        <f>TEXT(Table4[OrderDate], "mmmm")</f>
        <v>March</v>
      </c>
      <c r="L562" s="2">
        <f>IF(C562 = "", 0, IF(COUNTIF($C$2:C562, C562) = 1, 1, 0))</f>
        <v>0</v>
      </c>
    </row>
    <row r="563" spans="1:12" x14ac:dyDescent="0.25">
      <c r="A563" s="2">
        <v>1562</v>
      </c>
      <c r="B563" s="21" t="s">
        <v>202</v>
      </c>
      <c r="C563" s="2" t="s">
        <v>358</v>
      </c>
      <c r="D563" s="2" t="s">
        <v>375</v>
      </c>
      <c r="E563" s="2" t="s">
        <v>384</v>
      </c>
      <c r="F563" s="2" t="s">
        <v>389</v>
      </c>
      <c r="G563" s="2">
        <v>1</v>
      </c>
      <c r="H563" s="2">
        <v>30000</v>
      </c>
      <c r="I563" s="2">
        <v>0.15</v>
      </c>
      <c r="J563" s="3">
        <f t="shared" si="9"/>
        <v>25500</v>
      </c>
      <c r="K563" s="2" t="str">
        <f>TEXT(Table4[OrderDate], "mmmm")</f>
        <v>February</v>
      </c>
      <c r="L563" s="2">
        <f>IF(C563 = "", 0, IF(COUNTIF($C$2:C563, C563) = 1, 1, 0))</f>
        <v>0</v>
      </c>
    </row>
    <row r="564" spans="1:12" x14ac:dyDescent="0.25">
      <c r="A564" s="2">
        <v>1898</v>
      </c>
      <c r="B564" s="21" t="s">
        <v>351</v>
      </c>
      <c r="C564" s="2" t="s">
        <v>365</v>
      </c>
      <c r="D564" s="2" t="s">
        <v>379</v>
      </c>
      <c r="E564" s="2" t="s">
        <v>388</v>
      </c>
      <c r="F564" s="2" t="s">
        <v>389</v>
      </c>
      <c r="G564" s="2">
        <v>5</v>
      </c>
      <c r="H564" s="2">
        <v>12000</v>
      </c>
      <c r="I564" s="2">
        <v>0.1</v>
      </c>
      <c r="J564" s="3">
        <f t="shared" si="9"/>
        <v>54000</v>
      </c>
      <c r="K564" s="2" t="str">
        <f>TEXT(Table4[OrderDate], "mmmm")</f>
        <v>January</v>
      </c>
      <c r="L564" s="2">
        <f>IF(C564 = "", 0, IF(COUNTIF($C$2:C564, C564) = 1, 1, 0))</f>
        <v>0</v>
      </c>
    </row>
    <row r="565" spans="1:12" x14ac:dyDescent="0.25">
      <c r="A565" s="2">
        <v>1931</v>
      </c>
      <c r="B565" s="21" t="s">
        <v>35</v>
      </c>
      <c r="C565" s="2" t="s">
        <v>366</v>
      </c>
      <c r="D565" s="2" t="s">
        <v>375</v>
      </c>
      <c r="E565" s="2" t="s">
        <v>388</v>
      </c>
      <c r="F565" s="2" t="s">
        <v>389</v>
      </c>
      <c r="G565" s="2">
        <v>5</v>
      </c>
      <c r="H565" s="2">
        <v>12000</v>
      </c>
      <c r="I565" s="2">
        <v>0.1</v>
      </c>
      <c r="J565" s="3">
        <f t="shared" si="9"/>
        <v>54000</v>
      </c>
      <c r="K565" s="2" t="str">
        <f>TEXT(Table4[OrderDate], "mmmm")</f>
        <v>June</v>
      </c>
      <c r="L565" s="2">
        <f>IF(C565 = "", 0, IF(COUNTIF($C$2:C565, C565) = 1, 1, 0))</f>
        <v>0</v>
      </c>
    </row>
    <row r="566" spans="1:12" x14ac:dyDescent="0.25">
      <c r="A566" s="2">
        <v>1565</v>
      </c>
      <c r="B566" s="21" t="s">
        <v>301</v>
      </c>
      <c r="C566" s="2" t="s">
        <v>358</v>
      </c>
      <c r="D566" s="2" t="s">
        <v>373</v>
      </c>
      <c r="E566" s="2" t="s">
        <v>388</v>
      </c>
      <c r="F566" s="2" t="s">
        <v>389</v>
      </c>
      <c r="G566" s="2">
        <v>1</v>
      </c>
      <c r="H566" s="2">
        <v>12000</v>
      </c>
      <c r="I566" s="2">
        <v>0.15</v>
      </c>
      <c r="J566" s="3">
        <f t="shared" si="9"/>
        <v>10200</v>
      </c>
      <c r="K566" s="2" t="str">
        <f>TEXT(Table4[OrderDate], "mmmm")</f>
        <v>February</v>
      </c>
      <c r="L566" s="2">
        <f>IF(C566 = "", 0, IF(COUNTIF($C$2:C566, C566) = 1, 1, 0))</f>
        <v>0</v>
      </c>
    </row>
    <row r="567" spans="1:12" x14ac:dyDescent="0.25">
      <c r="A567" s="2">
        <v>1028</v>
      </c>
      <c r="B567" s="21" t="s">
        <v>36</v>
      </c>
      <c r="C567" s="2" t="s">
        <v>357</v>
      </c>
      <c r="D567" s="2" t="s">
        <v>375</v>
      </c>
      <c r="E567" s="2" t="s">
        <v>388</v>
      </c>
      <c r="F567" s="2" t="s">
        <v>389</v>
      </c>
      <c r="G567" s="2">
        <v>5</v>
      </c>
      <c r="H567" s="2">
        <v>12000</v>
      </c>
      <c r="I567" s="2">
        <v>0.15</v>
      </c>
      <c r="J567" s="3">
        <f t="shared" si="9"/>
        <v>51000</v>
      </c>
      <c r="K567" s="2" t="str">
        <f>TEXT(Table4[OrderDate], "mmmm")</f>
        <v>March</v>
      </c>
      <c r="L567" s="2">
        <f>IF(C567 = "", 0, IF(COUNTIF($C$2:C567, C567) = 1, 1, 0))</f>
        <v>0</v>
      </c>
    </row>
    <row r="568" spans="1:12" x14ac:dyDescent="0.25">
      <c r="A568" s="2">
        <v>1567</v>
      </c>
      <c r="B568" s="21" t="s">
        <v>126</v>
      </c>
      <c r="C568" s="2" t="s">
        <v>367</v>
      </c>
      <c r="D568" s="2" t="s">
        <v>380</v>
      </c>
      <c r="E568" s="2" t="s">
        <v>385</v>
      </c>
      <c r="F568" s="2" t="s">
        <v>390</v>
      </c>
      <c r="G568" s="2">
        <v>4</v>
      </c>
      <c r="H568" s="2">
        <v>2000</v>
      </c>
      <c r="I568" s="2">
        <v>0.1</v>
      </c>
      <c r="J568" s="3">
        <f t="shared" si="9"/>
        <v>7200</v>
      </c>
      <c r="K568" s="2" t="str">
        <f>TEXT(Table4[OrderDate], "mmmm")</f>
        <v>July</v>
      </c>
      <c r="L568" s="2">
        <f>IF(C568 = "", 0, IF(COUNTIF($C$2:C568, C568) = 1, 1, 0))</f>
        <v>0</v>
      </c>
    </row>
    <row r="569" spans="1:12" x14ac:dyDescent="0.25">
      <c r="A569" s="2">
        <v>1568</v>
      </c>
      <c r="B569" s="21" t="s">
        <v>121</v>
      </c>
      <c r="C569" s="2" t="s">
        <v>361</v>
      </c>
      <c r="D569" s="2" t="s">
        <v>378</v>
      </c>
      <c r="E569" s="2" t="s">
        <v>382</v>
      </c>
      <c r="F569" s="2" t="s">
        <v>389</v>
      </c>
      <c r="G569" s="2">
        <v>2</v>
      </c>
      <c r="H569" s="2">
        <v>50000</v>
      </c>
      <c r="I569" s="2">
        <v>0.1</v>
      </c>
      <c r="J569" s="3">
        <f t="shared" si="9"/>
        <v>90000</v>
      </c>
      <c r="K569" s="2" t="str">
        <f>TEXT(Table4[OrderDate], "mmmm")</f>
        <v>July</v>
      </c>
      <c r="L569" s="2">
        <f>IF(C569 = "", 0, IF(COUNTIF($C$2:C569, C569) = 1, 1, 0))</f>
        <v>0</v>
      </c>
    </row>
    <row r="570" spans="1:12" x14ac:dyDescent="0.25">
      <c r="A570" s="2">
        <v>1569</v>
      </c>
      <c r="B570" s="21" t="s">
        <v>152</v>
      </c>
      <c r="C570" s="2" t="s">
        <v>357</v>
      </c>
      <c r="D570" s="2" t="s">
        <v>374</v>
      </c>
      <c r="E570" s="2" t="s">
        <v>382</v>
      </c>
      <c r="F570" s="2" t="s">
        <v>389</v>
      </c>
      <c r="G570" s="2">
        <v>4</v>
      </c>
      <c r="H570" s="2">
        <v>50000</v>
      </c>
      <c r="I570" s="2">
        <v>0.1</v>
      </c>
      <c r="J570" s="3">
        <f t="shared" si="9"/>
        <v>180000</v>
      </c>
      <c r="K570" s="2" t="str">
        <f>TEXT(Table4[OrderDate], "mmmm")</f>
        <v>December</v>
      </c>
      <c r="L570" s="2">
        <f>IF(C570 = "", 0, IF(COUNTIF($C$2:C570, C570) = 1, 1, 0))</f>
        <v>0</v>
      </c>
    </row>
    <row r="571" spans="1:12" x14ac:dyDescent="0.25">
      <c r="A571" s="2">
        <v>1570</v>
      </c>
      <c r="B571" s="21" t="s">
        <v>178</v>
      </c>
      <c r="C571" s="2" t="s">
        <v>366</v>
      </c>
      <c r="D571" s="2" t="s">
        <v>379</v>
      </c>
      <c r="E571" s="2" t="s">
        <v>388</v>
      </c>
      <c r="F571" s="2" t="s">
        <v>389</v>
      </c>
      <c r="G571" s="2">
        <v>3</v>
      </c>
      <c r="H571" s="2">
        <v>12000</v>
      </c>
      <c r="I571" s="2">
        <v>0.1</v>
      </c>
      <c r="J571" s="3">
        <f t="shared" si="9"/>
        <v>32400</v>
      </c>
      <c r="K571" s="2" t="str">
        <f>TEXT(Table4[OrderDate], "mmmm")</f>
        <v>January</v>
      </c>
      <c r="L571" s="2">
        <f>IF(C571 = "", 0, IF(COUNTIF($C$2:C571, C571) = 1, 1, 0))</f>
        <v>0</v>
      </c>
    </row>
    <row r="572" spans="1:12" x14ac:dyDescent="0.25">
      <c r="A572" s="2">
        <v>1571</v>
      </c>
      <c r="B572" s="21" t="s">
        <v>280</v>
      </c>
      <c r="C572" s="2" t="s">
        <v>362</v>
      </c>
      <c r="D572" s="2" t="s">
        <v>375</v>
      </c>
      <c r="E572" s="2" t="s">
        <v>386</v>
      </c>
      <c r="F572" s="2" t="s">
        <v>391</v>
      </c>
      <c r="G572" s="2">
        <v>3</v>
      </c>
      <c r="H572" s="2">
        <v>7000</v>
      </c>
      <c r="I572" s="2">
        <v>0.15</v>
      </c>
      <c r="J572" s="3">
        <f t="shared" si="9"/>
        <v>17850</v>
      </c>
      <c r="K572" s="2" t="str">
        <f>TEXT(Table4[OrderDate], "mmmm")</f>
        <v>December</v>
      </c>
      <c r="L572" s="2">
        <f>IF(C572 = "", 0, IF(COUNTIF($C$2:C572, C572) = 1, 1, 0))</f>
        <v>0</v>
      </c>
    </row>
    <row r="573" spans="1:12" x14ac:dyDescent="0.25">
      <c r="A573" s="2">
        <v>1572</v>
      </c>
      <c r="B573" s="21" t="s">
        <v>302</v>
      </c>
      <c r="C573" s="2" t="s">
        <v>360</v>
      </c>
      <c r="D573" s="2" t="s">
        <v>378</v>
      </c>
      <c r="E573" s="2" t="s">
        <v>384</v>
      </c>
      <c r="F573" s="2" t="s">
        <v>389</v>
      </c>
      <c r="G573" s="2">
        <v>3</v>
      </c>
      <c r="H573" s="2">
        <v>30000</v>
      </c>
      <c r="I573" s="2">
        <v>0.15</v>
      </c>
      <c r="J573" s="3">
        <f t="shared" si="9"/>
        <v>76500</v>
      </c>
      <c r="K573" s="2" t="str">
        <f>TEXT(Table4[OrderDate], "mmmm")</f>
        <v>June</v>
      </c>
      <c r="L573" s="2">
        <f>IF(C573 = "", 0, IF(COUNTIF($C$2:C573, C573) = 1, 1, 0))</f>
        <v>0</v>
      </c>
    </row>
    <row r="574" spans="1:12" x14ac:dyDescent="0.25">
      <c r="A574" s="2">
        <v>1573</v>
      </c>
      <c r="B574" s="21" t="s">
        <v>24</v>
      </c>
      <c r="C574" s="2" t="s">
        <v>358</v>
      </c>
      <c r="D574" s="2" t="s">
        <v>380</v>
      </c>
      <c r="E574" s="2" t="s">
        <v>381</v>
      </c>
      <c r="F574" s="2" t="s">
        <v>389</v>
      </c>
      <c r="G574" s="2">
        <v>2</v>
      </c>
      <c r="H574" s="2">
        <v>20000</v>
      </c>
      <c r="I574" s="2">
        <v>0.15</v>
      </c>
      <c r="J574" s="3">
        <f t="shared" si="9"/>
        <v>34000</v>
      </c>
      <c r="K574" s="2" t="str">
        <f>TEXT(Table4[OrderDate], "mmmm")</f>
        <v>April</v>
      </c>
      <c r="L574" s="2">
        <f>IF(C574 = "", 0, IF(COUNTIF($C$2:C574, C574) = 1, 1, 0))</f>
        <v>0</v>
      </c>
    </row>
    <row r="575" spans="1:12" x14ac:dyDescent="0.25">
      <c r="A575" s="2">
        <v>1574</v>
      </c>
      <c r="B575" s="21" t="s">
        <v>161</v>
      </c>
      <c r="C575" s="2" t="s">
        <v>370</v>
      </c>
      <c r="D575" s="2" t="s">
        <v>378</v>
      </c>
      <c r="E575" s="2" t="s">
        <v>385</v>
      </c>
      <c r="F575" s="2" t="s">
        <v>390</v>
      </c>
      <c r="G575" s="2">
        <v>1</v>
      </c>
      <c r="H575" s="2">
        <v>2000</v>
      </c>
      <c r="I575" s="2">
        <v>0.05</v>
      </c>
      <c r="J575" s="3">
        <f t="shared" si="9"/>
        <v>1900</v>
      </c>
      <c r="K575" s="2" t="str">
        <f>TEXT(Table4[OrderDate], "mmmm")</f>
        <v>February</v>
      </c>
      <c r="L575" s="2">
        <f>IF(C575 = "", 0, IF(COUNTIF($C$2:C575, C575) = 1, 1, 0))</f>
        <v>0</v>
      </c>
    </row>
    <row r="576" spans="1:12" x14ac:dyDescent="0.25">
      <c r="A576" s="2">
        <v>1055</v>
      </c>
      <c r="B576" s="21" t="s">
        <v>58</v>
      </c>
      <c r="C576" s="2" t="s">
        <v>359</v>
      </c>
      <c r="D576" s="2" t="s">
        <v>377</v>
      </c>
      <c r="E576" s="2" t="s">
        <v>388</v>
      </c>
      <c r="F576" s="2" t="s">
        <v>389</v>
      </c>
      <c r="G576" s="2">
        <v>5</v>
      </c>
      <c r="H576" s="2">
        <v>12000</v>
      </c>
      <c r="I576" s="2">
        <v>0.15</v>
      </c>
      <c r="J576" s="3">
        <f t="shared" si="9"/>
        <v>51000</v>
      </c>
      <c r="K576" s="2" t="str">
        <f>TEXT(Table4[OrderDate], "mmmm")</f>
        <v>October</v>
      </c>
      <c r="L576" s="2">
        <f>IF(C576 = "", 0, IF(COUNTIF($C$2:C576, C576) = 1, 1, 0))</f>
        <v>0</v>
      </c>
    </row>
    <row r="577" spans="1:12" x14ac:dyDescent="0.25">
      <c r="A577" s="2">
        <v>1576</v>
      </c>
      <c r="B577" s="21" t="s">
        <v>77</v>
      </c>
      <c r="C577" s="2" t="s">
        <v>372</v>
      </c>
      <c r="D577" s="2" t="s">
        <v>376</v>
      </c>
      <c r="E577" s="2" t="s">
        <v>382</v>
      </c>
      <c r="F577" s="2" t="s">
        <v>389</v>
      </c>
      <c r="G577" s="2">
        <v>2</v>
      </c>
      <c r="H577" s="2">
        <v>50000</v>
      </c>
      <c r="I577" s="2">
        <v>0</v>
      </c>
      <c r="J577" s="3">
        <f t="shared" si="9"/>
        <v>100000</v>
      </c>
      <c r="K577" s="2" t="str">
        <f>TEXT(Table4[OrderDate], "mmmm")</f>
        <v>August</v>
      </c>
      <c r="L577" s="2">
        <f>IF(C577 = "", 0, IF(COUNTIF($C$2:C577, C577) = 1, 1, 0))</f>
        <v>0</v>
      </c>
    </row>
    <row r="578" spans="1:12" x14ac:dyDescent="0.25">
      <c r="A578" s="2">
        <v>1577</v>
      </c>
      <c r="B578" s="21" t="s">
        <v>242</v>
      </c>
      <c r="C578" s="2" t="s">
        <v>368</v>
      </c>
      <c r="D578" s="2" t="s">
        <v>377</v>
      </c>
      <c r="E578" s="2" t="s">
        <v>387</v>
      </c>
      <c r="F578" s="2" t="s">
        <v>391</v>
      </c>
      <c r="G578" s="2">
        <v>3</v>
      </c>
      <c r="H578" s="2">
        <v>3000</v>
      </c>
      <c r="I578" s="2">
        <v>0.1</v>
      </c>
      <c r="J578" s="3">
        <f t="shared" ref="J578:J641" si="10">H578*(1-I578)*G578</f>
        <v>8100</v>
      </c>
      <c r="K578" s="2" t="str">
        <f>TEXT(Table4[OrderDate], "mmmm")</f>
        <v>August</v>
      </c>
      <c r="L578" s="2">
        <f>IF(C578 = "", 0, IF(COUNTIF($C$2:C578, C578) = 1, 1, 0))</f>
        <v>0</v>
      </c>
    </row>
    <row r="579" spans="1:12" x14ac:dyDescent="0.25">
      <c r="A579" s="2">
        <v>1578</v>
      </c>
      <c r="B579" s="21" t="s">
        <v>96</v>
      </c>
      <c r="C579" s="2" t="s">
        <v>363</v>
      </c>
      <c r="D579" s="2" t="s">
        <v>373</v>
      </c>
      <c r="E579" s="2" t="s">
        <v>382</v>
      </c>
      <c r="F579" s="2" t="s">
        <v>389</v>
      </c>
      <c r="G579" s="2">
        <v>2</v>
      </c>
      <c r="H579" s="2">
        <v>50000</v>
      </c>
      <c r="I579" s="2">
        <v>0.1</v>
      </c>
      <c r="J579" s="3">
        <f t="shared" si="10"/>
        <v>90000</v>
      </c>
      <c r="K579" s="2" t="str">
        <f>TEXT(Table4[OrderDate], "mmmm")</f>
        <v>September</v>
      </c>
      <c r="L579" s="2">
        <f>IF(C579 = "", 0, IF(COUNTIF($C$2:C579, C579) = 1, 1, 0))</f>
        <v>0</v>
      </c>
    </row>
    <row r="580" spans="1:12" x14ac:dyDescent="0.25">
      <c r="A580" s="2">
        <v>1080</v>
      </c>
      <c r="B580" s="21" t="s">
        <v>80</v>
      </c>
      <c r="C580" s="2" t="s">
        <v>363</v>
      </c>
      <c r="D580" s="2" t="s">
        <v>373</v>
      </c>
      <c r="E580" s="2" t="s">
        <v>388</v>
      </c>
      <c r="F580" s="2" t="s">
        <v>389</v>
      </c>
      <c r="G580" s="2">
        <v>5</v>
      </c>
      <c r="H580" s="2">
        <v>12000</v>
      </c>
      <c r="I580" s="2">
        <v>0.15</v>
      </c>
      <c r="J580" s="3">
        <f t="shared" si="10"/>
        <v>51000</v>
      </c>
      <c r="K580" s="2" t="str">
        <f>TEXT(Table4[OrderDate], "mmmm")</f>
        <v>October</v>
      </c>
      <c r="L580" s="2">
        <f>IF(C580 = "", 0, IF(COUNTIF($C$2:C580, C580) = 1, 1, 0))</f>
        <v>0</v>
      </c>
    </row>
    <row r="581" spans="1:12" x14ac:dyDescent="0.25">
      <c r="A581" s="2">
        <v>1580</v>
      </c>
      <c r="B581" s="21" t="s">
        <v>28</v>
      </c>
      <c r="C581" s="2" t="s">
        <v>372</v>
      </c>
      <c r="D581" s="2" t="s">
        <v>373</v>
      </c>
      <c r="E581" s="2" t="s">
        <v>381</v>
      </c>
      <c r="F581" s="2" t="s">
        <v>389</v>
      </c>
      <c r="G581" s="2">
        <v>3</v>
      </c>
      <c r="H581" s="2">
        <v>20000</v>
      </c>
      <c r="I581" s="2">
        <v>0</v>
      </c>
      <c r="J581" s="3">
        <f t="shared" si="10"/>
        <v>60000</v>
      </c>
      <c r="K581" s="2" t="str">
        <f>TEXT(Table4[OrderDate], "mmmm")</f>
        <v>July</v>
      </c>
      <c r="L581" s="2">
        <f>IF(C581 = "", 0, IF(COUNTIF($C$2:C581, C581) = 1, 1, 0))</f>
        <v>0</v>
      </c>
    </row>
    <row r="582" spans="1:12" x14ac:dyDescent="0.25">
      <c r="A582" s="2">
        <v>1581</v>
      </c>
      <c r="B582" s="21" t="s">
        <v>145</v>
      </c>
      <c r="C582" s="2" t="s">
        <v>371</v>
      </c>
      <c r="D582" s="2" t="s">
        <v>379</v>
      </c>
      <c r="E582" s="2" t="s">
        <v>387</v>
      </c>
      <c r="F582" s="2" t="s">
        <v>391</v>
      </c>
      <c r="G582" s="2">
        <v>2</v>
      </c>
      <c r="H582" s="2">
        <v>3000</v>
      </c>
      <c r="I582" s="2">
        <v>0.05</v>
      </c>
      <c r="J582" s="3">
        <f t="shared" si="10"/>
        <v>5700</v>
      </c>
      <c r="K582" s="2" t="str">
        <f>TEXT(Table4[OrderDate], "mmmm")</f>
        <v>December</v>
      </c>
      <c r="L582" s="2">
        <f>IF(C582 = "", 0, IF(COUNTIF($C$2:C582, C582) = 1, 1, 0))</f>
        <v>0</v>
      </c>
    </row>
    <row r="583" spans="1:12" x14ac:dyDescent="0.25">
      <c r="A583" s="2">
        <v>1304</v>
      </c>
      <c r="B583" s="21" t="s">
        <v>184</v>
      </c>
      <c r="C583" s="2" t="s">
        <v>359</v>
      </c>
      <c r="D583" s="2" t="s">
        <v>377</v>
      </c>
      <c r="E583" s="2" t="s">
        <v>388</v>
      </c>
      <c r="F583" s="2" t="s">
        <v>389</v>
      </c>
      <c r="G583" s="2">
        <v>5</v>
      </c>
      <c r="H583" s="2">
        <v>12000</v>
      </c>
      <c r="I583" s="2">
        <v>0.15</v>
      </c>
      <c r="J583" s="3">
        <f t="shared" si="10"/>
        <v>51000</v>
      </c>
      <c r="K583" s="2" t="str">
        <f>TEXT(Table4[OrderDate], "mmmm")</f>
        <v>May</v>
      </c>
      <c r="L583" s="2">
        <f>IF(C583 = "", 0, IF(COUNTIF($C$2:C583, C583) = 1, 1, 0))</f>
        <v>0</v>
      </c>
    </row>
    <row r="584" spans="1:12" x14ac:dyDescent="0.25">
      <c r="A584" s="2">
        <v>1583</v>
      </c>
      <c r="B584" s="21" t="s">
        <v>65</v>
      </c>
      <c r="C584" s="2" t="s">
        <v>360</v>
      </c>
      <c r="D584" s="2" t="s">
        <v>379</v>
      </c>
      <c r="E584" s="2" t="s">
        <v>384</v>
      </c>
      <c r="F584" s="2" t="s">
        <v>389</v>
      </c>
      <c r="G584" s="2">
        <v>2</v>
      </c>
      <c r="H584" s="2">
        <v>30000</v>
      </c>
      <c r="I584" s="2">
        <v>0</v>
      </c>
      <c r="J584" s="3">
        <f t="shared" si="10"/>
        <v>60000</v>
      </c>
      <c r="K584" s="2" t="str">
        <f>TEXT(Table4[OrderDate], "mmmm")</f>
        <v>April</v>
      </c>
      <c r="L584" s="2">
        <f>IF(C584 = "", 0, IF(COUNTIF($C$2:C584, C584) = 1, 1, 0))</f>
        <v>0</v>
      </c>
    </row>
    <row r="585" spans="1:12" x14ac:dyDescent="0.25">
      <c r="A585" s="2">
        <v>1584</v>
      </c>
      <c r="B585" s="21" t="s">
        <v>181</v>
      </c>
      <c r="C585" s="2" t="s">
        <v>363</v>
      </c>
      <c r="D585" s="2" t="s">
        <v>379</v>
      </c>
      <c r="E585" s="2" t="s">
        <v>386</v>
      </c>
      <c r="F585" s="2" t="s">
        <v>391</v>
      </c>
      <c r="G585" s="2">
        <v>4</v>
      </c>
      <c r="H585" s="2">
        <v>7000</v>
      </c>
      <c r="I585" s="2">
        <v>0.15</v>
      </c>
      <c r="J585" s="3">
        <f t="shared" si="10"/>
        <v>23800</v>
      </c>
      <c r="K585" s="2" t="str">
        <f>TEXT(Table4[OrderDate], "mmmm")</f>
        <v>June</v>
      </c>
      <c r="L585" s="2">
        <f>IF(C585 = "", 0, IF(COUNTIF($C$2:C585, C585) = 1, 1, 0))</f>
        <v>0</v>
      </c>
    </row>
    <row r="586" spans="1:12" x14ac:dyDescent="0.25">
      <c r="A586" s="2">
        <v>1585</v>
      </c>
      <c r="B586" s="21" t="s">
        <v>145</v>
      </c>
      <c r="C586" s="2" t="s">
        <v>368</v>
      </c>
      <c r="D586" s="2" t="s">
        <v>377</v>
      </c>
      <c r="E586" s="2" t="s">
        <v>387</v>
      </c>
      <c r="F586" s="2" t="s">
        <v>391</v>
      </c>
      <c r="G586" s="2">
        <v>4</v>
      </c>
      <c r="H586" s="2">
        <v>3000</v>
      </c>
      <c r="I586" s="2">
        <v>0.1</v>
      </c>
      <c r="J586" s="3">
        <f t="shared" si="10"/>
        <v>10800</v>
      </c>
      <c r="K586" s="2" t="str">
        <f>TEXT(Table4[OrderDate], "mmmm")</f>
        <v>December</v>
      </c>
      <c r="L586" s="2">
        <f>IF(C586 = "", 0, IF(COUNTIF($C$2:C586, C586) = 1, 1, 0))</f>
        <v>0</v>
      </c>
    </row>
    <row r="587" spans="1:12" x14ac:dyDescent="0.25">
      <c r="A587" s="2">
        <v>1418</v>
      </c>
      <c r="B587" s="21" t="s">
        <v>228</v>
      </c>
      <c r="C587" s="2" t="s">
        <v>358</v>
      </c>
      <c r="D587" s="2" t="s">
        <v>374</v>
      </c>
      <c r="E587" s="2" t="s">
        <v>388</v>
      </c>
      <c r="F587" s="2" t="s">
        <v>389</v>
      </c>
      <c r="G587" s="2">
        <v>5</v>
      </c>
      <c r="H587" s="2">
        <v>12000</v>
      </c>
      <c r="I587" s="2">
        <v>0.15</v>
      </c>
      <c r="J587" s="3">
        <f t="shared" si="10"/>
        <v>51000</v>
      </c>
      <c r="K587" s="2" t="str">
        <f>TEXT(Table4[OrderDate], "mmmm")</f>
        <v>September</v>
      </c>
      <c r="L587" s="2">
        <f>IF(C587 = "", 0, IF(COUNTIF($C$2:C587, C587) = 1, 1, 0))</f>
        <v>0</v>
      </c>
    </row>
    <row r="588" spans="1:12" x14ac:dyDescent="0.25">
      <c r="A588" s="2">
        <v>1587</v>
      </c>
      <c r="B588" s="21" t="s">
        <v>304</v>
      </c>
      <c r="C588" s="2" t="s">
        <v>360</v>
      </c>
      <c r="D588" s="2" t="s">
        <v>376</v>
      </c>
      <c r="E588" s="2" t="s">
        <v>381</v>
      </c>
      <c r="F588" s="2" t="s">
        <v>389</v>
      </c>
      <c r="G588" s="2">
        <v>4</v>
      </c>
      <c r="H588" s="2">
        <v>20000</v>
      </c>
      <c r="I588" s="2">
        <v>0</v>
      </c>
      <c r="J588" s="3">
        <f t="shared" si="10"/>
        <v>80000</v>
      </c>
      <c r="K588" s="2" t="str">
        <f>TEXT(Table4[OrderDate], "mmmm")</f>
        <v>June</v>
      </c>
      <c r="L588" s="2">
        <f>IF(C588 = "", 0, IF(COUNTIF($C$2:C588, C588) = 1, 1, 0))</f>
        <v>0</v>
      </c>
    </row>
    <row r="589" spans="1:12" x14ac:dyDescent="0.25">
      <c r="A589" s="2">
        <v>1588</v>
      </c>
      <c r="B589" s="21" t="s">
        <v>305</v>
      </c>
      <c r="C589" s="2" t="s">
        <v>361</v>
      </c>
      <c r="D589" s="2" t="s">
        <v>375</v>
      </c>
      <c r="E589" s="2" t="s">
        <v>386</v>
      </c>
      <c r="F589" s="2" t="s">
        <v>391</v>
      </c>
      <c r="G589" s="2">
        <v>3</v>
      </c>
      <c r="H589" s="2">
        <v>7000</v>
      </c>
      <c r="I589" s="2">
        <v>0.1</v>
      </c>
      <c r="J589" s="3">
        <f t="shared" si="10"/>
        <v>18900</v>
      </c>
      <c r="K589" s="2" t="str">
        <f>TEXT(Table4[OrderDate], "mmmm")</f>
        <v>April</v>
      </c>
      <c r="L589" s="2">
        <f>IF(C589 = "", 0, IF(COUNTIF($C$2:C589, C589) = 1, 1, 0))</f>
        <v>0</v>
      </c>
    </row>
    <row r="590" spans="1:12" x14ac:dyDescent="0.25">
      <c r="A590" s="2">
        <v>1654</v>
      </c>
      <c r="B590" s="21" t="s">
        <v>320</v>
      </c>
      <c r="C590" s="2" t="s">
        <v>370</v>
      </c>
      <c r="D590" s="2" t="s">
        <v>378</v>
      </c>
      <c r="E590" s="2" t="s">
        <v>388</v>
      </c>
      <c r="F590" s="2" t="s">
        <v>389</v>
      </c>
      <c r="G590" s="2">
        <v>5</v>
      </c>
      <c r="H590" s="2">
        <v>12000</v>
      </c>
      <c r="I590" s="2">
        <v>0.15</v>
      </c>
      <c r="J590" s="3">
        <f t="shared" si="10"/>
        <v>51000</v>
      </c>
      <c r="K590" s="2" t="str">
        <f>TEXT(Table4[OrderDate], "mmmm")</f>
        <v>December</v>
      </c>
      <c r="L590" s="2">
        <f>IF(C590 = "", 0, IF(COUNTIF($C$2:C590, C590) = 1, 1, 0))</f>
        <v>0</v>
      </c>
    </row>
    <row r="591" spans="1:12" x14ac:dyDescent="0.25">
      <c r="A591" s="2">
        <v>1590</v>
      </c>
      <c r="B591" s="21" t="s">
        <v>100</v>
      </c>
      <c r="C591" s="2" t="s">
        <v>358</v>
      </c>
      <c r="D591" s="2" t="s">
        <v>378</v>
      </c>
      <c r="E591" s="2" t="s">
        <v>382</v>
      </c>
      <c r="F591" s="2" t="s">
        <v>389</v>
      </c>
      <c r="G591" s="2">
        <v>4</v>
      </c>
      <c r="H591" s="2">
        <v>50000</v>
      </c>
      <c r="I591" s="2">
        <v>0.1</v>
      </c>
      <c r="J591" s="3">
        <f t="shared" si="10"/>
        <v>180000</v>
      </c>
      <c r="K591" s="2" t="str">
        <f>TEXT(Table4[OrderDate], "mmmm")</f>
        <v>May</v>
      </c>
      <c r="L591" s="2">
        <f>IF(C591 = "", 0, IF(COUNTIF($C$2:C591, C591) = 1, 1, 0))</f>
        <v>0</v>
      </c>
    </row>
    <row r="592" spans="1:12" x14ac:dyDescent="0.25">
      <c r="A592" s="2">
        <v>1591</v>
      </c>
      <c r="B592" s="21" t="s">
        <v>55</v>
      </c>
      <c r="C592" s="2" t="s">
        <v>357</v>
      </c>
      <c r="D592" s="2" t="s">
        <v>380</v>
      </c>
      <c r="E592" s="2" t="s">
        <v>383</v>
      </c>
      <c r="F592" s="2" t="s">
        <v>390</v>
      </c>
      <c r="G592" s="2">
        <v>1</v>
      </c>
      <c r="H592" s="2">
        <v>1500</v>
      </c>
      <c r="I592" s="2">
        <v>0.05</v>
      </c>
      <c r="J592" s="3">
        <f t="shared" si="10"/>
        <v>1425</v>
      </c>
      <c r="K592" s="2" t="str">
        <f>TEXT(Table4[OrderDate], "mmmm")</f>
        <v>June</v>
      </c>
      <c r="L592" s="2">
        <f>IF(C592 = "", 0, IF(COUNTIF($C$2:C592, C592) = 1, 1, 0))</f>
        <v>0</v>
      </c>
    </row>
    <row r="593" spans="1:12" x14ac:dyDescent="0.25">
      <c r="A593" s="2">
        <v>1793</v>
      </c>
      <c r="B593" s="21" t="s">
        <v>88</v>
      </c>
      <c r="C593" s="2" t="s">
        <v>367</v>
      </c>
      <c r="D593" s="2" t="s">
        <v>375</v>
      </c>
      <c r="E593" s="2" t="s">
        <v>388</v>
      </c>
      <c r="F593" s="2" t="s">
        <v>389</v>
      </c>
      <c r="G593" s="2">
        <v>5</v>
      </c>
      <c r="H593" s="2">
        <v>12000</v>
      </c>
      <c r="I593" s="2">
        <v>0.15</v>
      </c>
      <c r="J593" s="3">
        <f t="shared" si="10"/>
        <v>51000</v>
      </c>
      <c r="K593" s="2" t="str">
        <f>TEXT(Table4[OrderDate], "mmmm")</f>
        <v>May</v>
      </c>
      <c r="L593" s="2">
        <f>IF(C593 = "", 0, IF(COUNTIF($C$2:C593, C593) = 1, 1, 0))</f>
        <v>0</v>
      </c>
    </row>
    <row r="594" spans="1:12" x14ac:dyDescent="0.25">
      <c r="A594" s="2">
        <v>1593</v>
      </c>
      <c r="B594" s="21" t="s">
        <v>100</v>
      </c>
      <c r="C594" s="2" t="s">
        <v>369</v>
      </c>
      <c r="D594" s="2" t="s">
        <v>376</v>
      </c>
      <c r="E594" s="2" t="s">
        <v>381</v>
      </c>
      <c r="F594" s="2" t="s">
        <v>389</v>
      </c>
      <c r="G594" s="2">
        <v>4</v>
      </c>
      <c r="H594" s="2">
        <v>20000</v>
      </c>
      <c r="I594" s="2">
        <v>0.05</v>
      </c>
      <c r="J594" s="3">
        <f t="shared" si="10"/>
        <v>76000</v>
      </c>
      <c r="K594" s="2" t="str">
        <f>TEXT(Table4[OrderDate], "mmmm")</f>
        <v>May</v>
      </c>
      <c r="L594" s="2">
        <f>IF(C594 = "", 0, IF(COUNTIF($C$2:C594, C594) = 1, 1, 0))</f>
        <v>0</v>
      </c>
    </row>
    <row r="595" spans="1:12" x14ac:dyDescent="0.25">
      <c r="A595" s="2">
        <v>1594</v>
      </c>
      <c r="B595" s="21" t="s">
        <v>65</v>
      </c>
      <c r="C595" s="2" t="s">
        <v>370</v>
      </c>
      <c r="D595" s="2" t="s">
        <v>378</v>
      </c>
      <c r="E595" s="2" t="s">
        <v>381</v>
      </c>
      <c r="F595" s="2" t="s">
        <v>389</v>
      </c>
      <c r="G595" s="2">
        <v>2</v>
      </c>
      <c r="H595" s="2">
        <v>20000</v>
      </c>
      <c r="I595" s="2">
        <v>0.1</v>
      </c>
      <c r="J595" s="3">
        <f t="shared" si="10"/>
        <v>36000</v>
      </c>
      <c r="K595" s="2" t="str">
        <f>TEXT(Table4[OrderDate], "mmmm")</f>
        <v>April</v>
      </c>
      <c r="L595" s="2">
        <f>IF(C595 = "", 0, IF(COUNTIF($C$2:C595, C595) = 1, 1, 0))</f>
        <v>0</v>
      </c>
    </row>
    <row r="596" spans="1:12" x14ac:dyDescent="0.25">
      <c r="A596" s="2">
        <v>1595</v>
      </c>
      <c r="B596" s="21" t="s">
        <v>307</v>
      </c>
      <c r="C596" s="2" t="s">
        <v>370</v>
      </c>
      <c r="D596" s="2" t="s">
        <v>380</v>
      </c>
      <c r="E596" s="2" t="s">
        <v>385</v>
      </c>
      <c r="F596" s="2" t="s">
        <v>390</v>
      </c>
      <c r="G596" s="2">
        <v>3</v>
      </c>
      <c r="H596" s="2">
        <v>2000</v>
      </c>
      <c r="I596" s="2">
        <v>0.1</v>
      </c>
      <c r="J596" s="3">
        <f t="shared" si="10"/>
        <v>5400</v>
      </c>
      <c r="K596" s="2" t="str">
        <f>TEXT(Table4[OrderDate], "mmmm")</f>
        <v>October</v>
      </c>
      <c r="L596" s="2">
        <f>IF(C596 = "", 0, IF(COUNTIF($C$2:C596, C596) = 1, 1, 0))</f>
        <v>0</v>
      </c>
    </row>
    <row r="597" spans="1:12" x14ac:dyDescent="0.25">
      <c r="A597" s="2">
        <v>1596</v>
      </c>
      <c r="B597" s="21" t="s">
        <v>255</v>
      </c>
      <c r="C597" s="2" t="s">
        <v>365</v>
      </c>
      <c r="D597" s="2" t="s">
        <v>380</v>
      </c>
      <c r="E597" s="2" t="s">
        <v>381</v>
      </c>
      <c r="F597" s="2" t="s">
        <v>389</v>
      </c>
      <c r="G597" s="2">
        <v>4</v>
      </c>
      <c r="H597" s="2">
        <v>20000</v>
      </c>
      <c r="I597" s="2">
        <v>0</v>
      </c>
      <c r="J597" s="3">
        <f t="shared" si="10"/>
        <v>80000</v>
      </c>
      <c r="K597" s="2" t="str">
        <f>TEXT(Table4[OrderDate], "mmmm")</f>
        <v>November</v>
      </c>
      <c r="L597" s="2">
        <f>IF(C597 = "", 0, IF(COUNTIF($C$2:C597, C597) = 1, 1, 0))</f>
        <v>0</v>
      </c>
    </row>
    <row r="598" spans="1:12" x14ac:dyDescent="0.25">
      <c r="A598" s="2">
        <v>1962</v>
      </c>
      <c r="B598" s="21" t="s">
        <v>106</v>
      </c>
      <c r="C598" s="2" t="s">
        <v>366</v>
      </c>
      <c r="D598" s="2" t="s">
        <v>378</v>
      </c>
      <c r="E598" s="2" t="s">
        <v>388</v>
      </c>
      <c r="F598" s="2" t="s">
        <v>389</v>
      </c>
      <c r="G598" s="2">
        <v>5</v>
      </c>
      <c r="H598" s="2">
        <v>12000</v>
      </c>
      <c r="I598" s="2">
        <v>0.15</v>
      </c>
      <c r="J598" s="3">
        <f t="shared" si="10"/>
        <v>51000</v>
      </c>
      <c r="K598" s="2" t="str">
        <f>TEXT(Table4[OrderDate], "mmmm")</f>
        <v>October</v>
      </c>
      <c r="L598" s="2">
        <f>IF(C598 = "", 0, IF(COUNTIF($C$2:C598, C598) = 1, 1, 0))</f>
        <v>0</v>
      </c>
    </row>
    <row r="599" spans="1:12" x14ac:dyDescent="0.25">
      <c r="A599" s="2">
        <v>1598</v>
      </c>
      <c r="B599" s="21" t="s">
        <v>174</v>
      </c>
      <c r="C599" s="2" t="s">
        <v>371</v>
      </c>
      <c r="D599" s="2" t="s">
        <v>376</v>
      </c>
      <c r="E599" s="2" t="s">
        <v>383</v>
      </c>
      <c r="F599" s="2" t="s">
        <v>390</v>
      </c>
      <c r="G599" s="2">
        <v>1</v>
      </c>
      <c r="H599" s="2">
        <v>1500</v>
      </c>
      <c r="I599" s="2">
        <v>0.05</v>
      </c>
      <c r="J599" s="3">
        <f t="shared" si="10"/>
        <v>1425</v>
      </c>
      <c r="K599" s="2" t="str">
        <f>TEXT(Table4[OrderDate], "mmmm")</f>
        <v>March</v>
      </c>
      <c r="L599" s="2">
        <f>IF(C599 = "", 0, IF(COUNTIF($C$2:C599, C599) = 1, 1, 0))</f>
        <v>0</v>
      </c>
    </row>
    <row r="600" spans="1:12" x14ac:dyDescent="0.25">
      <c r="A600" s="2">
        <v>1020</v>
      </c>
      <c r="B600" s="21" t="s">
        <v>29</v>
      </c>
      <c r="C600" s="2" t="s">
        <v>362</v>
      </c>
      <c r="D600" s="2" t="s">
        <v>379</v>
      </c>
      <c r="E600" s="2" t="s">
        <v>386</v>
      </c>
      <c r="F600" s="2" t="s">
        <v>391</v>
      </c>
      <c r="G600" s="2">
        <v>5</v>
      </c>
      <c r="H600" s="2">
        <v>7000</v>
      </c>
      <c r="I600" s="2">
        <v>0</v>
      </c>
      <c r="J600" s="3">
        <f t="shared" si="10"/>
        <v>35000</v>
      </c>
      <c r="K600" s="2" t="str">
        <f>TEXT(Table4[OrderDate], "mmmm")</f>
        <v>December</v>
      </c>
      <c r="L600" s="2">
        <f>IF(C600 = "", 0, IF(COUNTIF($C$2:C600, C600) = 1, 1, 0))</f>
        <v>0</v>
      </c>
    </row>
    <row r="601" spans="1:12" x14ac:dyDescent="0.25">
      <c r="A601" s="2">
        <v>1600</v>
      </c>
      <c r="B601" s="21" t="s">
        <v>308</v>
      </c>
      <c r="C601" s="2" t="s">
        <v>369</v>
      </c>
      <c r="D601" s="2" t="s">
        <v>376</v>
      </c>
      <c r="E601" s="2" t="s">
        <v>381</v>
      </c>
      <c r="F601" s="2" t="s">
        <v>389</v>
      </c>
      <c r="G601" s="2">
        <v>4</v>
      </c>
      <c r="H601" s="2">
        <v>20000</v>
      </c>
      <c r="I601" s="2">
        <v>0.1</v>
      </c>
      <c r="J601" s="3">
        <f t="shared" si="10"/>
        <v>72000</v>
      </c>
      <c r="K601" s="2" t="str">
        <f>TEXT(Table4[OrderDate], "mmmm")</f>
        <v>November</v>
      </c>
      <c r="L601" s="2">
        <f>IF(C601 = "", 0, IF(COUNTIF($C$2:C601, C601) = 1, 1, 0))</f>
        <v>0</v>
      </c>
    </row>
    <row r="602" spans="1:12" x14ac:dyDescent="0.25">
      <c r="A602" s="2">
        <v>1601</v>
      </c>
      <c r="B602" s="21" t="s">
        <v>141</v>
      </c>
      <c r="C602" s="2" t="s">
        <v>371</v>
      </c>
      <c r="D602" s="2" t="s">
        <v>373</v>
      </c>
      <c r="E602" s="2" t="s">
        <v>382</v>
      </c>
      <c r="F602" s="2" t="s">
        <v>389</v>
      </c>
      <c r="G602" s="2">
        <v>1</v>
      </c>
      <c r="H602" s="2">
        <v>50000</v>
      </c>
      <c r="I602" s="2">
        <v>0.15</v>
      </c>
      <c r="J602" s="3">
        <f t="shared" si="10"/>
        <v>42500</v>
      </c>
      <c r="K602" s="2" t="str">
        <f>TEXT(Table4[OrderDate], "mmmm")</f>
        <v>May</v>
      </c>
      <c r="L602" s="2">
        <f>IF(C602 = "", 0, IF(COUNTIF($C$2:C602, C602) = 1, 1, 0))</f>
        <v>0</v>
      </c>
    </row>
    <row r="603" spans="1:12" x14ac:dyDescent="0.25">
      <c r="A603" s="2">
        <v>1602</v>
      </c>
      <c r="B603" s="21" t="s">
        <v>57</v>
      </c>
      <c r="C603" s="2" t="s">
        <v>358</v>
      </c>
      <c r="D603" s="2" t="s">
        <v>378</v>
      </c>
      <c r="E603" s="2" t="s">
        <v>384</v>
      </c>
      <c r="F603" s="2" t="s">
        <v>389</v>
      </c>
      <c r="G603" s="2">
        <v>4</v>
      </c>
      <c r="H603" s="2">
        <v>30000</v>
      </c>
      <c r="I603" s="2">
        <v>0</v>
      </c>
      <c r="J603" s="3">
        <f t="shared" si="10"/>
        <v>120000</v>
      </c>
      <c r="K603" s="2" t="str">
        <f>TEXT(Table4[OrderDate], "mmmm")</f>
        <v>March</v>
      </c>
      <c r="L603" s="2">
        <f>IF(C603 = "", 0, IF(COUNTIF($C$2:C603, C603) = 1, 1, 0))</f>
        <v>0</v>
      </c>
    </row>
    <row r="604" spans="1:12" x14ac:dyDescent="0.25">
      <c r="A604" s="2">
        <v>1603</v>
      </c>
      <c r="B604" s="21" t="s">
        <v>126</v>
      </c>
      <c r="C604" s="2" t="s">
        <v>359</v>
      </c>
      <c r="D604" s="2" t="s">
        <v>374</v>
      </c>
      <c r="E604" s="2" t="s">
        <v>383</v>
      </c>
      <c r="F604" s="2" t="s">
        <v>390</v>
      </c>
      <c r="G604" s="2">
        <v>4</v>
      </c>
      <c r="H604" s="2">
        <v>1500</v>
      </c>
      <c r="I604" s="2">
        <v>0.15</v>
      </c>
      <c r="J604" s="3">
        <f t="shared" si="10"/>
        <v>5100</v>
      </c>
      <c r="K604" s="2" t="str">
        <f>TEXT(Table4[OrderDate], "mmmm")</f>
        <v>July</v>
      </c>
      <c r="L604" s="2">
        <f>IF(C604 = "", 0, IF(COUNTIF($C$2:C604, C604) = 1, 1, 0))</f>
        <v>0</v>
      </c>
    </row>
    <row r="605" spans="1:12" x14ac:dyDescent="0.25">
      <c r="A605" s="2">
        <v>1604</v>
      </c>
      <c r="B605" s="21" t="s">
        <v>302</v>
      </c>
      <c r="C605" s="2" t="s">
        <v>371</v>
      </c>
      <c r="D605" s="2" t="s">
        <v>374</v>
      </c>
      <c r="E605" s="2" t="s">
        <v>387</v>
      </c>
      <c r="F605" s="2" t="s">
        <v>391</v>
      </c>
      <c r="G605" s="2">
        <v>3</v>
      </c>
      <c r="H605" s="2">
        <v>3000</v>
      </c>
      <c r="I605" s="2">
        <v>0</v>
      </c>
      <c r="J605" s="3">
        <f t="shared" si="10"/>
        <v>9000</v>
      </c>
      <c r="K605" s="2" t="str">
        <f>TEXT(Table4[OrderDate], "mmmm")</f>
        <v>June</v>
      </c>
      <c r="L605" s="2">
        <f>IF(C605 = "", 0, IF(COUNTIF($C$2:C605, C605) = 1, 1, 0))</f>
        <v>0</v>
      </c>
    </row>
    <row r="606" spans="1:12" x14ac:dyDescent="0.25">
      <c r="A606" s="2">
        <v>1605</v>
      </c>
      <c r="B606" s="21" t="s">
        <v>84</v>
      </c>
      <c r="C606" s="2" t="s">
        <v>364</v>
      </c>
      <c r="D606" s="2" t="s">
        <v>379</v>
      </c>
      <c r="E606" s="2" t="s">
        <v>382</v>
      </c>
      <c r="F606" s="2" t="s">
        <v>389</v>
      </c>
      <c r="G606" s="2">
        <v>2</v>
      </c>
      <c r="H606" s="2">
        <v>50000</v>
      </c>
      <c r="I606" s="2">
        <v>0.05</v>
      </c>
      <c r="J606" s="3">
        <f t="shared" si="10"/>
        <v>95000</v>
      </c>
      <c r="K606" s="2" t="str">
        <f>TEXT(Table4[OrderDate], "mmmm")</f>
        <v>December</v>
      </c>
      <c r="L606" s="2">
        <f>IF(C606 = "", 0, IF(COUNTIF($C$2:C606, C606) = 1, 1, 0))</f>
        <v>0</v>
      </c>
    </row>
    <row r="607" spans="1:12" x14ac:dyDescent="0.25">
      <c r="A607" s="2">
        <v>1606</v>
      </c>
      <c r="B607" s="21" t="s">
        <v>193</v>
      </c>
      <c r="C607" s="2" t="s">
        <v>370</v>
      </c>
      <c r="D607" s="2" t="s">
        <v>373</v>
      </c>
      <c r="E607" s="2" t="s">
        <v>384</v>
      </c>
      <c r="F607" s="2" t="s">
        <v>389</v>
      </c>
      <c r="G607" s="2">
        <v>1</v>
      </c>
      <c r="H607" s="2">
        <v>30000</v>
      </c>
      <c r="I607" s="2">
        <v>0.15</v>
      </c>
      <c r="J607" s="3">
        <f t="shared" si="10"/>
        <v>25500</v>
      </c>
      <c r="K607" s="2" t="str">
        <f>TEXT(Table4[OrderDate], "mmmm")</f>
        <v>September</v>
      </c>
      <c r="L607" s="2">
        <f>IF(C607 = "", 0, IF(COUNTIF($C$2:C607, C607) = 1, 1, 0))</f>
        <v>0</v>
      </c>
    </row>
    <row r="608" spans="1:12" x14ac:dyDescent="0.25">
      <c r="A608" s="2">
        <v>1607</v>
      </c>
      <c r="B608" s="21" t="s">
        <v>18</v>
      </c>
      <c r="C608" s="2" t="s">
        <v>363</v>
      </c>
      <c r="D608" s="2" t="s">
        <v>376</v>
      </c>
      <c r="E608" s="2" t="s">
        <v>381</v>
      </c>
      <c r="F608" s="2" t="s">
        <v>389</v>
      </c>
      <c r="G608" s="2">
        <v>1</v>
      </c>
      <c r="H608" s="2">
        <v>20000</v>
      </c>
      <c r="I608" s="2">
        <v>0.1</v>
      </c>
      <c r="J608" s="3">
        <f t="shared" si="10"/>
        <v>18000</v>
      </c>
      <c r="K608" s="2" t="str">
        <f>TEXT(Table4[OrderDate], "mmmm")</f>
        <v>May</v>
      </c>
      <c r="L608" s="2">
        <f>IF(C608 = "", 0, IF(COUNTIF($C$2:C608, C608) = 1, 1, 0))</f>
        <v>0</v>
      </c>
    </row>
    <row r="609" spans="1:12" x14ac:dyDescent="0.25">
      <c r="A609" s="2">
        <v>1608</v>
      </c>
      <c r="B609" s="21" t="s">
        <v>96</v>
      </c>
      <c r="C609" s="2" t="s">
        <v>364</v>
      </c>
      <c r="D609" s="2" t="s">
        <v>375</v>
      </c>
      <c r="E609" s="2" t="s">
        <v>383</v>
      </c>
      <c r="F609" s="2" t="s">
        <v>390</v>
      </c>
      <c r="G609" s="2">
        <v>2</v>
      </c>
      <c r="H609" s="2">
        <v>1500</v>
      </c>
      <c r="I609" s="2">
        <v>0.1</v>
      </c>
      <c r="J609" s="3">
        <f t="shared" si="10"/>
        <v>2700</v>
      </c>
      <c r="K609" s="2" t="str">
        <f>TEXT(Table4[OrderDate], "mmmm")</f>
        <v>September</v>
      </c>
      <c r="L609" s="2">
        <f>IF(C609 = "", 0, IF(COUNTIF($C$2:C609, C609) = 1, 1, 0))</f>
        <v>0</v>
      </c>
    </row>
    <row r="610" spans="1:12" x14ac:dyDescent="0.25">
      <c r="A610" s="2">
        <v>1609</v>
      </c>
      <c r="B610" s="21" t="s">
        <v>132</v>
      </c>
      <c r="C610" s="2" t="s">
        <v>357</v>
      </c>
      <c r="D610" s="2" t="s">
        <v>373</v>
      </c>
      <c r="E610" s="2" t="s">
        <v>384</v>
      </c>
      <c r="F610" s="2" t="s">
        <v>389</v>
      </c>
      <c r="G610" s="2">
        <v>4</v>
      </c>
      <c r="H610" s="2">
        <v>30000</v>
      </c>
      <c r="I610" s="2">
        <v>0</v>
      </c>
      <c r="J610" s="3">
        <f t="shared" si="10"/>
        <v>120000</v>
      </c>
      <c r="K610" s="2" t="str">
        <f>TEXT(Table4[OrderDate], "mmmm")</f>
        <v>April</v>
      </c>
      <c r="L610" s="2">
        <f>IF(C610 = "", 0, IF(COUNTIF($C$2:C610, C610) = 1, 1, 0))</f>
        <v>0</v>
      </c>
    </row>
    <row r="611" spans="1:12" x14ac:dyDescent="0.25">
      <c r="A611" s="2">
        <v>1610</v>
      </c>
      <c r="B611" s="21" t="s">
        <v>211</v>
      </c>
      <c r="C611" s="2" t="s">
        <v>364</v>
      </c>
      <c r="D611" s="2" t="s">
        <v>374</v>
      </c>
      <c r="E611" s="2" t="s">
        <v>387</v>
      </c>
      <c r="F611" s="2" t="s">
        <v>391</v>
      </c>
      <c r="G611" s="2">
        <v>1</v>
      </c>
      <c r="H611" s="2">
        <v>3000</v>
      </c>
      <c r="I611" s="2">
        <v>0.05</v>
      </c>
      <c r="J611" s="3">
        <f t="shared" si="10"/>
        <v>2850</v>
      </c>
      <c r="K611" s="2" t="str">
        <f>TEXT(Table4[OrderDate], "mmmm")</f>
        <v>March</v>
      </c>
      <c r="L611" s="2">
        <f>IF(C611 = "", 0, IF(COUNTIF($C$2:C611, C611) = 1, 1, 0))</f>
        <v>0</v>
      </c>
    </row>
    <row r="612" spans="1:12" x14ac:dyDescent="0.25">
      <c r="A612" s="2">
        <v>1611</v>
      </c>
      <c r="B612" s="21" t="s">
        <v>309</v>
      </c>
      <c r="C612" s="2" t="s">
        <v>372</v>
      </c>
      <c r="D612" s="2" t="s">
        <v>377</v>
      </c>
      <c r="E612" s="2" t="s">
        <v>383</v>
      </c>
      <c r="F612" s="2" t="s">
        <v>390</v>
      </c>
      <c r="G612" s="2">
        <v>3</v>
      </c>
      <c r="H612" s="2">
        <v>1500</v>
      </c>
      <c r="I612" s="2">
        <v>0</v>
      </c>
      <c r="J612" s="3">
        <f t="shared" si="10"/>
        <v>4500</v>
      </c>
      <c r="K612" s="2" t="str">
        <f>TEXT(Table4[OrderDate], "mmmm")</f>
        <v>October</v>
      </c>
      <c r="L612" s="2">
        <f>IF(C612 = "", 0, IF(COUNTIF($C$2:C612, C612) = 1, 1, 0))</f>
        <v>0</v>
      </c>
    </row>
    <row r="613" spans="1:12" x14ac:dyDescent="0.25">
      <c r="A613" s="2">
        <v>1612</v>
      </c>
      <c r="B613" s="21" t="s">
        <v>286</v>
      </c>
      <c r="C613" s="2" t="s">
        <v>363</v>
      </c>
      <c r="D613" s="2" t="s">
        <v>378</v>
      </c>
      <c r="E613" s="2" t="s">
        <v>382</v>
      </c>
      <c r="F613" s="2" t="s">
        <v>389</v>
      </c>
      <c r="G613" s="2">
        <v>1</v>
      </c>
      <c r="H613" s="2">
        <v>50000</v>
      </c>
      <c r="I613" s="2">
        <v>0</v>
      </c>
      <c r="J613" s="3">
        <f t="shared" si="10"/>
        <v>50000</v>
      </c>
      <c r="K613" s="2" t="str">
        <f>TEXT(Table4[OrderDate], "mmmm")</f>
        <v>August</v>
      </c>
      <c r="L613" s="2">
        <f>IF(C613 = "", 0, IF(COUNTIF($C$2:C613, C613) = 1, 1, 0))</f>
        <v>0</v>
      </c>
    </row>
    <row r="614" spans="1:12" x14ac:dyDescent="0.25">
      <c r="A614" s="2">
        <v>1107</v>
      </c>
      <c r="B614" s="21" t="s">
        <v>101</v>
      </c>
      <c r="C614" s="2" t="s">
        <v>371</v>
      </c>
      <c r="D614" s="2" t="s">
        <v>377</v>
      </c>
      <c r="E614" s="2" t="s">
        <v>386</v>
      </c>
      <c r="F614" s="2" t="s">
        <v>391</v>
      </c>
      <c r="G614" s="2">
        <v>5</v>
      </c>
      <c r="H614" s="2">
        <v>7000</v>
      </c>
      <c r="I614" s="2">
        <v>0</v>
      </c>
      <c r="J614" s="3">
        <f t="shared" si="10"/>
        <v>35000</v>
      </c>
      <c r="K614" s="2" t="str">
        <f>TEXT(Table4[OrderDate], "mmmm")</f>
        <v>September</v>
      </c>
      <c r="L614" s="2">
        <f>IF(C614 = "", 0, IF(COUNTIF($C$2:C614, C614) = 1, 1, 0))</f>
        <v>0</v>
      </c>
    </row>
    <row r="615" spans="1:12" x14ac:dyDescent="0.25">
      <c r="A615" s="2">
        <v>1614</v>
      </c>
      <c r="B615" s="21" t="s">
        <v>95</v>
      </c>
      <c r="C615" s="2" t="s">
        <v>362</v>
      </c>
      <c r="D615" s="2" t="s">
        <v>379</v>
      </c>
      <c r="E615" s="2" t="s">
        <v>382</v>
      </c>
      <c r="F615" s="2" t="s">
        <v>389</v>
      </c>
      <c r="G615" s="2">
        <v>3</v>
      </c>
      <c r="H615" s="2">
        <v>50000</v>
      </c>
      <c r="I615" s="2">
        <v>0.15</v>
      </c>
      <c r="J615" s="3">
        <f t="shared" si="10"/>
        <v>127500</v>
      </c>
      <c r="K615" s="2" t="str">
        <f>TEXT(Table4[OrderDate], "mmmm")</f>
        <v>December</v>
      </c>
      <c r="L615" s="2">
        <f>IF(C615 = "", 0, IF(COUNTIF($C$2:C615, C615) = 1, 1, 0))</f>
        <v>0</v>
      </c>
    </row>
    <row r="616" spans="1:12" x14ac:dyDescent="0.25">
      <c r="A616" s="2">
        <v>1615</v>
      </c>
      <c r="B616" s="21" t="s">
        <v>75</v>
      </c>
      <c r="C616" s="2" t="s">
        <v>362</v>
      </c>
      <c r="D616" s="2" t="s">
        <v>379</v>
      </c>
      <c r="E616" s="2" t="s">
        <v>384</v>
      </c>
      <c r="F616" s="2" t="s">
        <v>389</v>
      </c>
      <c r="G616" s="2">
        <v>4</v>
      </c>
      <c r="H616" s="2">
        <v>30000</v>
      </c>
      <c r="I616" s="2">
        <v>0</v>
      </c>
      <c r="J616" s="3">
        <f t="shared" si="10"/>
        <v>120000</v>
      </c>
      <c r="K616" s="2" t="str">
        <f>TEXT(Table4[OrderDate], "mmmm")</f>
        <v>September</v>
      </c>
      <c r="L616" s="2">
        <f>IF(C616 = "", 0, IF(COUNTIF($C$2:C616, C616) = 1, 1, 0))</f>
        <v>0</v>
      </c>
    </row>
    <row r="617" spans="1:12" x14ac:dyDescent="0.25">
      <c r="A617" s="2">
        <v>1616</v>
      </c>
      <c r="B617" s="21" t="s">
        <v>139</v>
      </c>
      <c r="C617" s="2" t="s">
        <v>371</v>
      </c>
      <c r="D617" s="2" t="s">
        <v>379</v>
      </c>
      <c r="E617" s="2" t="s">
        <v>381</v>
      </c>
      <c r="F617" s="2" t="s">
        <v>389</v>
      </c>
      <c r="G617" s="2">
        <v>1</v>
      </c>
      <c r="H617" s="2">
        <v>20000</v>
      </c>
      <c r="I617" s="2">
        <v>0.15</v>
      </c>
      <c r="J617" s="3">
        <f t="shared" si="10"/>
        <v>17000</v>
      </c>
      <c r="K617" s="2" t="str">
        <f>TEXT(Table4[OrderDate], "mmmm")</f>
        <v>April</v>
      </c>
      <c r="L617" s="2">
        <f>IF(C617 = "", 0, IF(COUNTIF($C$2:C617, C617) = 1, 1, 0))</f>
        <v>0</v>
      </c>
    </row>
    <row r="618" spans="1:12" x14ac:dyDescent="0.25">
      <c r="A618" s="2">
        <v>1617</v>
      </c>
      <c r="B618" s="21" t="s">
        <v>45</v>
      </c>
      <c r="C618" s="2" t="s">
        <v>369</v>
      </c>
      <c r="D618" s="2" t="s">
        <v>374</v>
      </c>
      <c r="E618" s="2" t="s">
        <v>387</v>
      </c>
      <c r="F618" s="2" t="s">
        <v>391</v>
      </c>
      <c r="G618" s="2">
        <v>3</v>
      </c>
      <c r="H618" s="2">
        <v>3000</v>
      </c>
      <c r="I618" s="2">
        <v>0.15</v>
      </c>
      <c r="J618" s="3">
        <f t="shared" si="10"/>
        <v>7650</v>
      </c>
      <c r="K618" s="2" t="str">
        <f>TEXT(Table4[OrderDate], "mmmm")</f>
        <v>May</v>
      </c>
      <c r="L618" s="2">
        <f>IF(C618 = "", 0, IF(COUNTIF($C$2:C618, C618) = 1, 1, 0))</f>
        <v>0</v>
      </c>
    </row>
    <row r="619" spans="1:12" x14ac:dyDescent="0.25">
      <c r="A619" s="2">
        <v>1618</v>
      </c>
      <c r="B619" s="21" t="s">
        <v>85</v>
      </c>
      <c r="C619" s="2" t="s">
        <v>357</v>
      </c>
      <c r="D619" s="2" t="s">
        <v>374</v>
      </c>
      <c r="E619" s="2" t="s">
        <v>388</v>
      </c>
      <c r="F619" s="2" t="s">
        <v>389</v>
      </c>
      <c r="G619" s="2">
        <v>2</v>
      </c>
      <c r="H619" s="2">
        <v>12000</v>
      </c>
      <c r="I619" s="2">
        <v>0.15</v>
      </c>
      <c r="J619" s="3">
        <f t="shared" si="10"/>
        <v>20400</v>
      </c>
      <c r="K619" s="2" t="str">
        <f>TEXT(Table4[OrderDate], "mmmm")</f>
        <v>June</v>
      </c>
      <c r="L619" s="2">
        <f>IF(C619 = "", 0, IF(COUNTIF($C$2:C619, C619) = 1, 1, 0))</f>
        <v>0</v>
      </c>
    </row>
    <row r="620" spans="1:12" x14ac:dyDescent="0.25">
      <c r="A620" s="2">
        <v>1619</v>
      </c>
      <c r="B620" s="21" t="s">
        <v>106</v>
      </c>
      <c r="C620" s="2" t="s">
        <v>367</v>
      </c>
      <c r="D620" s="2" t="s">
        <v>373</v>
      </c>
      <c r="E620" s="2" t="s">
        <v>382</v>
      </c>
      <c r="F620" s="2" t="s">
        <v>389</v>
      </c>
      <c r="G620" s="2">
        <v>1</v>
      </c>
      <c r="H620" s="2">
        <v>50000</v>
      </c>
      <c r="I620" s="2">
        <v>0</v>
      </c>
      <c r="J620" s="3">
        <f t="shared" si="10"/>
        <v>50000</v>
      </c>
      <c r="K620" s="2" t="str">
        <f>TEXT(Table4[OrderDate], "mmmm")</f>
        <v>October</v>
      </c>
      <c r="L620" s="2">
        <f>IF(C620 = "", 0, IF(COUNTIF($C$2:C620, C620) = 1, 1, 0))</f>
        <v>0</v>
      </c>
    </row>
    <row r="621" spans="1:12" x14ac:dyDescent="0.25">
      <c r="A621" s="2">
        <v>1142</v>
      </c>
      <c r="B621" s="21" t="s">
        <v>123</v>
      </c>
      <c r="C621" s="2" t="s">
        <v>358</v>
      </c>
      <c r="D621" s="2" t="s">
        <v>377</v>
      </c>
      <c r="E621" s="2" t="s">
        <v>386</v>
      </c>
      <c r="F621" s="2" t="s">
        <v>391</v>
      </c>
      <c r="G621" s="2">
        <v>5</v>
      </c>
      <c r="H621" s="2">
        <v>7000</v>
      </c>
      <c r="I621" s="2">
        <v>0</v>
      </c>
      <c r="J621" s="3">
        <f t="shared" si="10"/>
        <v>35000</v>
      </c>
      <c r="K621" s="2" t="str">
        <f>TEXT(Table4[OrderDate], "mmmm")</f>
        <v>October</v>
      </c>
      <c r="L621" s="2">
        <f>IF(C621 = "", 0, IF(COUNTIF($C$2:C621, C621) = 1, 1, 0))</f>
        <v>0</v>
      </c>
    </row>
    <row r="622" spans="1:12" x14ac:dyDescent="0.25">
      <c r="A622" s="2">
        <v>1621</v>
      </c>
      <c r="B622" s="21" t="s">
        <v>242</v>
      </c>
      <c r="C622" s="2" t="s">
        <v>372</v>
      </c>
      <c r="D622" s="2" t="s">
        <v>377</v>
      </c>
      <c r="E622" s="2" t="s">
        <v>388</v>
      </c>
      <c r="F622" s="2" t="s">
        <v>389</v>
      </c>
      <c r="G622" s="2">
        <v>3</v>
      </c>
      <c r="H622" s="2">
        <v>12000</v>
      </c>
      <c r="I622" s="2">
        <v>0.1</v>
      </c>
      <c r="J622" s="3">
        <f t="shared" si="10"/>
        <v>32400</v>
      </c>
      <c r="K622" s="2" t="str">
        <f>TEXT(Table4[OrderDate], "mmmm")</f>
        <v>August</v>
      </c>
      <c r="L622" s="2">
        <f>IF(C622 = "", 0, IF(COUNTIF($C$2:C622, C622) = 1, 1, 0))</f>
        <v>0</v>
      </c>
    </row>
    <row r="623" spans="1:12" x14ac:dyDescent="0.25">
      <c r="A623" s="2">
        <v>1622</v>
      </c>
      <c r="B623" s="21" t="s">
        <v>247</v>
      </c>
      <c r="C623" s="2" t="s">
        <v>366</v>
      </c>
      <c r="D623" s="2" t="s">
        <v>378</v>
      </c>
      <c r="E623" s="2" t="s">
        <v>384</v>
      </c>
      <c r="F623" s="2" t="s">
        <v>389</v>
      </c>
      <c r="G623" s="2">
        <v>1</v>
      </c>
      <c r="H623" s="2">
        <v>30000</v>
      </c>
      <c r="I623" s="2">
        <v>0.1</v>
      </c>
      <c r="J623" s="3">
        <f t="shared" si="10"/>
        <v>27000</v>
      </c>
      <c r="K623" s="2" t="str">
        <f>TEXT(Table4[OrderDate], "mmmm")</f>
        <v>July</v>
      </c>
      <c r="L623" s="2">
        <f>IF(C623 = "", 0, IF(COUNTIF($C$2:C623, C623) = 1, 1, 0))</f>
        <v>0</v>
      </c>
    </row>
    <row r="624" spans="1:12" x14ac:dyDescent="0.25">
      <c r="A624" s="2">
        <v>1623</v>
      </c>
      <c r="B624" s="21" t="s">
        <v>311</v>
      </c>
      <c r="C624" s="2" t="s">
        <v>361</v>
      </c>
      <c r="D624" s="2" t="s">
        <v>373</v>
      </c>
      <c r="E624" s="2" t="s">
        <v>381</v>
      </c>
      <c r="F624" s="2" t="s">
        <v>389</v>
      </c>
      <c r="G624" s="2">
        <v>1</v>
      </c>
      <c r="H624" s="2">
        <v>20000</v>
      </c>
      <c r="I624" s="2">
        <v>0</v>
      </c>
      <c r="J624" s="3">
        <f t="shared" si="10"/>
        <v>20000</v>
      </c>
      <c r="K624" s="2" t="str">
        <f>TEXT(Table4[OrderDate], "mmmm")</f>
        <v>January</v>
      </c>
      <c r="L624" s="2">
        <f>IF(C624 = "", 0, IF(COUNTIF($C$2:C624, C624) = 1, 1, 0))</f>
        <v>0</v>
      </c>
    </row>
    <row r="625" spans="1:12" x14ac:dyDescent="0.25">
      <c r="A625" s="2">
        <v>1624</v>
      </c>
      <c r="B625" s="21" t="s">
        <v>312</v>
      </c>
      <c r="C625" s="2" t="s">
        <v>360</v>
      </c>
      <c r="D625" s="2" t="s">
        <v>377</v>
      </c>
      <c r="E625" s="2" t="s">
        <v>385</v>
      </c>
      <c r="F625" s="2" t="s">
        <v>390</v>
      </c>
      <c r="G625" s="2">
        <v>3</v>
      </c>
      <c r="H625" s="2">
        <v>2000</v>
      </c>
      <c r="I625" s="2">
        <v>0.15</v>
      </c>
      <c r="J625" s="3">
        <f t="shared" si="10"/>
        <v>5100</v>
      </c>
      <c r="K625" s="2" t="str">
        <f>TEXT(Table4[OrderDate], "mmmm")</f>
        <v>November</v>
      </c>
      <c r="L625" s="2">
        <f>IF(C625 = "", 0, IF(COUNTIF($C$2:C625, C625) = 1, 1, 0))</f>
        <v>0</v>
      </c>
    </row>
    <row r="626" spans="1:12" x14ac:dyDescent="0.25">
      <c r="A626" s="2">
        <v>1625</v>
      </c>
      <c r="B626" s="21" t="s">
        <v>268</v>
      </c>
      <c r="C626" s="2" t="s">
        <v>368</v>
      </c>
      <c r="D626" s="2" t="s">
        <v>378</v>
      </c>
      <c r="E626" s="2" t="s">
        <v>385</v>
      </c>
      <c r="F626" s="2" t="s">
        <v>390</v>
      </c>
      <c r="G626" s="2">
        <v>3</v>
      </c>
      <c r="H626" s="2">
        <v>2000</v>
      </c>
      <c r="I626" s="2">
        <v>0.05</v>
      </c>
      <c r="J626" s="3">
        <f t="shared" si="10"/>
        <v>5700</v>
      </c>
      <c r="K626" s="2" t="str">
        <f>TEXT(Table4[OrderDate], "mmmm")</f>
        <v>February</v>
      </c>
      <c r="L626" s="2">
        <f>IF(C626 = "", 0, IF(COUNTIF($C$2:C626, C626) = 1, 1, 0))</f>
        <v>0</v>
      </c>
    </row>
    <row r="627" spans="1:12" x14ac:dyDescent="0.25">
      <c r="A627" s="2">
        <v>1626</v>
      </c>
      <c r="B627" s="21" t="s">
        <v>152</v>
      </c>
      <c r="C627" s="2" t="s">
        <v>367</v>
      </c>
      <c r="D627" s="2" t="s">
        <v>378</v>
      </c>
      <c r="E627" s="2" t="s">
        <v>388</v>
      </c>
      <c r="F627" s="2" t="s">
        <v>389</v>
      </c>
      <c r="G627" s="2">
        <v>3</v>
      </c>
      <c r="H627" s="2">
        <v>12000</v>
      </c>
      <c r="I627" s="2">
        <v>0.15</v>
      </c>
      <c r="J627" s="3">
        <f t="shared" si="10"/>
        <v>30600</v>
      </c>
      <c r="K627" s="2" t="str">
        <f>TEXT(Table4[OrderDate], "mmmm")</f>
        <v>December</v>
      </c>
      <c r="L627" s="2">
        <f>IF(C627 = "", 0, IF(COUNTIF($C$2:C627, C627) = 1, 1, 0))</f>
        <v>0</v>
      </c>
    </row>
    <row r="628" spans="1:12" x14ac:dyDescent="0.25">
      <c r="A628" s="2">
        <v>1627</v>
      </c>
      <c r="B628" s="21" t="s">
        <v>280</v>
      </c>
      <c r="C628" s="2" t="s">
        <v>372</v>
      </c>
      <c r="D628" s="2" t="s">
        <v>373</v>
      </c>
      <c r="E628" s="2" t="s">
        <v>384</v>
      </c>
      <c r="F628" s="2" t="s">
        <v>389</v>
      </c>
      <c r="G628" s="2">
        <v>1</v>
      </c>
      <c r="H628" s="2">
        <v>30000</v>
      </c>
      <c r="I628" s="2">
        <v>0.05</v>
      </c>
      <c r="J628" s="3">
        <f t="shared" si="10"/>
        <v>28500</v>
      </c>
      <c r="K628" s="2" t="str">
        <f>TEXT(Table4[OrderDate], "mmmm")</f>
        <v>December</v>
      </c>
      <c r="L628" s="2">
        <f>IF(C628 = "", 0, IF(COUNTIF($C$2:C628, C628) = 1, 1, 0))</f>
        <v>0</v>
      </c>
    </row>
    <row r="629" spans="1:12" x14ac:dyDescent="0.25">
      <c r="A629" s="2">
        <v>1628</v>
      </c>
      <c r="B629" s="21" t="s">
        <v>48</v>
      </c>
      <c r="C629" s="2" t="s">
        <v>363</v>
      </c>
      <c r="D629" s="2" t="s">
        <v>373</v>
      </c>
      <c r="E629" s="2" t="s">
        <v>381</v>
      </c>
      <c r="F629" s="2" t="s">
        <v>389</v>
      </c>
      <c r="G629" s="2">
        <v>4</v>
      </c>
      <c r="H629" s="2">
        <v>20000</v>
      </c>
      <c r="I629" s="2">
        <v>0.15</v>
      </c>
      <c r="J629" s="3">
        <f t="shared" si="10"/>
        <v>68000</v>
      </c>
      <c r="K629" s="2" t="str">
        <f>TEXT(Table4[OrderDate], "mmmm")</f>
        <v>October</v>
      </c>
      <c r="L629" s="2">
        <f>IF(C629 = "", 0, IF(COUNTIF($C$2:C629, C629) = 1, 1, 0))</f>
        <v>0</v>
      </c>
    </row>
    <row r="630" spans="1:12" x14ac:dyDescent="0.25">
      <c r="A630" s="2">
        <v>1629</v>
      </c>
      <c r="B630" s="21" t="s">
        <v>22</v>
      </c>
      <c r="C630" s="2" t="s">
        <v>361</v>
      </c>
      <c r="D630" s="2" t="s">
        <v>380</v>
      </c>
      <c r="E630" s="2" t="s">
        <v>383</v>
      </c>
      <c r="F630" s="2" t="s">
        <v>390</v>
      </c>
      <c r="G630" s="2">
        <v>3</v>
      </c>
      <c r="H630" s="2">
        <v>1500</v>
      </c>
      <c r="I630" s="2">
        <v>0</v>
      </c>
      <c r="J630" s="3">
        <f t="shared" si="10"/>
        <v>4500</v>
      </c>
      <c r="K630" s="2" t="str">
        <f>TEXT(Table4[OrderDate], "mmmm")</f>
        <v>December</v>
      </c>
      <c r="L630" s="2">
        <f>IF(C630 = "", 0, IF(COUNTIF($C$2:C630, C630) = 1, 1, 0))</f>
        <v>0</v>
      </c>
    </row>
    <row r="631" spans="1:12" x14ac:dyDescent="0.25">
      <c r="A631" s="2">
        <v>1630</v>
      </c>
      <c r="B631" s="21" t="s">
        <v>282</v>
      </c>
      <c r="C631" s="2" t="s">
        <v>372</v>
      </c>
      <c r="D631" s="2" t="s">
        <v>377</v>
      </c>
      <c r="E631" s="2" t="s">
        <v>388</v>
      </c>
      <c r="F631" s="2" t="s">
        <v>389</v>
      </c>
      <c r="G631" s="2">
        <v>1</v>
      </c>
      <c r="H631" s="2">
        <v>12000</v>
      </c>
      <c r="I631" s="2">
        <v>0.15</v>
      </c>
      <c r="J631" s="3">
        <f t="shared" si="10"/>
        <v>10200</v>
      </c>
      <c r="K631" s="2" t="str">
        <f>TEXT(Table4[OrderDate], "mmmm")</f>
        <v>August</v>
      </c>
      <c r="L631" s="2">
        <f>IF(C631 = "", 0, IF(COUNTIF($C$2:C631, C631) = 1, 1, 0))</f>
        <v>0</v>
      </c>
    </row>
    <row r="632" spans="1:12" x14ac:dyDescent="0.25">
      <c r="A632" s="2">
        <v>1631</v>
      </c>
      <c r="B632" s="21" t="s">
        <v>266</v>
      </c>
      <c r="C632" s="2" t="s">
        <v>357</v>
      </c>
      <c r="D632" s="2" t="s">
        <v>376</v>
      </c>
      <c r="E632" s="2" t="s">
        <v>386</v>
      </c>
      <c r="F632" s="2" t="s">
        <v>391</v>
      </c>
      <c r="G632" s="2">
        <v>3</v>
      </c>
      <c r="H632" s="2">
        <v>7000</v>
      </c>
      <c r="I632" s="2">
        <v>0</v>
      </c>
      <c r="J632" s="3">
        <f t="shared" si="10"/>
        <v>21000</v>
      </c>
      <c r="K632" s="2" t="str">
        <f>TEXT(Table4[OrderDate], "mmmm")</f>
        <v>December</v>
      </c>
      <c r="L632" s="2">
        <f>IF(C632 = "", 0, IF(COUNTIF($C$2:C632, C632) = 1, 1, 0))</f>
        <v>0</v>
      </c>
    </row>
    <row r="633" spans="1:12" x14ac:dyDescent="0.25">
      <c r="A633" s="2">
        <v>1632</v>
      </c>
      <c r="B633" s="21" t="s">
        <v>313</v>
      </c>
      <c r="C633" s="2" t="s">
        <v>364</v>
      </c>
      <c r="D633" s="2" t="s">
        <v>378</v>
      </c>
      <c r="E633" s="2" t="s">
        <v>381</v>
      </c>
      <c r="F633" s="2" t="s">
        <v>389</v>
      </c>
      <c r="G633" s="2">
        <v>4</v>
      </c>
      <c r="H633" s="2">
        <v>20000</v>
      </c>
      <c r="I633" s="2">
        <v>0.05</v>
      </c>
      <c r="J633" s="3">
        <f t="shared" si="10"/>
        <v>76000</v>
      </c>
      <c r="K633" s="2" t="str">
        <f>TEXT(Table4[OrderDate], "mmmm")</f>
        <v>September</v>
      </c>
      <c r="L633" s="2">
        <f>IF(C633 = "", 0, IF(COUNTIF($C$2:C633, C633) = 1, 1, 0))</f>
        <v>0</v>
      </c>
    </row>
    <row r="634" spans="1:12" x14ac:dyDescent="0.25">
      <c r="A634" s="2">
        <v>1290</v>
      </c>
      <c r="B634" s="21" t="s">
        <v>193</v>
      </c>
      <c r="C634" s="2" t="s">
        <v>369</v>
      </c>
      <c r="D634" s="2" t="s">
        <v>373</v>
      </c>
      <c r="E634" s="2" t="s">
        <v>386</v>
      </c>
      <c r="F634" s="2" t="s">
        <v>391</v>
      </c>
      <c r="G634" s="2">
        <v>5</v>
      </c>
      <c r="H634" s="2">
        <v>7000</v>
      </c>
      <c r="I634" s="2">
        <v>0</v>
      </c>
      <c r="J634" s="3">
        <f t="shared" si="10"/>
        <v>35000</v>
      </c>
      <c r="K634" s="2" t="str">
        <f>TEXT(Table4[OrderDate], "mmmm")</f>
        <v>September</v>
      </c>
      <c r="L634" s="2">
        <f>IF(C634 = "", 0, IF(COUNTIF($C$2:C634, C634) = 1, 1, 0))</f>
        <v>0</v>
      </c>
    </row>
    <row r="635" spans="1:12" x14ac:dyDescent="0.25">
      <c r="A635" s="2">
        <v>1634</v>
      </c>
      <c r="B635" s="21" t="s">
        <v>315</v>
      </c>
      <c r="C635" s="2" t="s">
        <v>366</v>
      </c>
      <c r="D635" s="2" t="s">
        <v>375</v>
      </c>
      <c r="E635" s="2" t="s">
        <v>388</v>
      </c>
      <c r="F635" s="2" t="s">
        <v>389</v>
      </c>
      <c r="G635" s="2">
        <v>2</v>
      </c>
      <c r="H635" s="2">
        <v>12000</v>
      </c>
      <c r="I635" s="2">
        <v>0</v>
      </c>
      <c r="J635" s="3">
        <f t="shared" si="10"/>
        <v>24000</v>
      </c>
      <c r="K635" s="2" t="str">
        <f>TEXT(Table4[OrderDate], "mmmm")</f>
        <v>September</v>
      </c>
      <c r="L635" s="2">
        <f>IF(C635 = "", 0, IF(COUNTIF($C$2:C635, C635) = 1, 1, 0))</f>
        <v>0</v>
      </c>
    </row>
    <row r="636" spans="1:12" x14ac:dyDescent="0.25">
      <c r="A636" s="2">
        <v>1635</v>
      </c>
      <c r="B636" s="21" t="s">
        <v>31</v>
      </c>
      <c r="C636" s="2" t="s">
        <v>357</v>
      </c>
      <c r="D636" s="2" t="s">
        <v>378</v>
      </c>
      <c r="E636" s="2" t="s">
        <v>385</v>
      </c>
      <c r="F636" s="2" t="s">
        <v>390</v>
      </c>
      <c r="G636" s="2">
        <v>3</v>
      </c>
      <c r="H636" s="2">
        <v>2000</v>
      </c>
      <c r="I636" s="2">
        <v>0</v>
      </c>
      <c r="J636" s="3">
        <f t="shared" si="10"/>
        <v>6000</v>
      </c>
      <c r="K636" s="2" t="str">
        <f>TEXT(Table4[OrderDate], "mmmm")</f>
        <v>September</v>
      </c>
      <c r="L636" s="2">
        <f>IF(C636 = "", 0, IF(COUNTIF($C$2:C636, C636) = 1, 1, 0))</f>
        <v>0</v>
      </c>
    </row>
    <row r="637" spans="1:12" x14ac:dyDescent="0.25">
      <c r="A637" s="2">
        <v>1636</v>
      </c>
      <c r="B637" s="21" t="s">
        <v>316</v>
      </c>
      <c r="C637" s="2" t="s">
        <v>363</v>
      </c>
      <c r="D637" s="2" t="s">
        <v>380</v>
      </c>
      <c r="E637" s="2" t="s">
        <v>383</v>
      </c>
      <c r="F637" s="2" t="s">
        <v>390</v>
      </c>
      <c r="G637" s="2">
        <v>2</v>
      </c>
      <c r="H637" s="2">
        <v>1500</v>
      </c>
      <c r="I637" s="2">
        <v>0</v>
      </c>
      <c r="J637" s="3">
        <f t="shared" si="10"/>
        <v>3000</v>
      </c>
      <c r="K637" s="2" t="str">
        <f>TEXT(Table4[OrderDate], "mmmm")</f>
        <v>August</v>
      </c>
      <c r="L637" s="2">
        <f>IF(C637 = "", 0, IF(COUNTIF($C$2:C637, C637) = 1, 1, 0))</f>
        <v>0</v>
      </c>
    </row>
    <row r="638" spans="1:12" x14ac:dyDescent="0.25">
      <c r="A638" s="2">
        <v>1637</v>
      </c>
      <c r="B638" s="21" t="s">
        <v>271</v>
      </c>
      <c r="C638" s="2" t="s">
        <v>362</v>
      </c>
      <c r="D638" s="2" t="s">
        <v>380</v>
      </c>
      <c r="E638" s="2" t="s">
        <v>381</v>
      </c>
      <c r="F638" s="2" t="s">
        <v>389</v>
      </c>
      <c r="G638" s="2">
        <v>4</v>
      </c>
      <c r="H638" s="2">
        <v>20000</v>
      </c>
      <c r="I638" s="2">
        <v>0.15</v>
      </c>
      <c r="J638" s="3">
        <f t="shared" si="10"/>
        <v>68000</v>
      </c>
      <c r="K638" s="2" t="str">
        <f>TEXT(Table4[OrderDate], "mmmm")</f>
        <v>June</v>
      </c>
      <c r="L638" s="2">
        <f>IF(C638 = "", 0, IF(COUNTIF($C$2:C638, C638) = 1, 1, 0))</f>
        <v>0</v>
      </c>
    </row>
    <row r="639" spans="1:12" x14ac:dyDescent="0.25">
      <c r="A639" s="2">
        <v>1638</v>
      </c>
      <c r="B639" s="21" t="s">
        <v>62</v>
      </c>
      <c r="C639" s="2" t="s">
        <v>372</v>
      </c>
      <c r="D639" s="2" t="s">
        <v>374</v>
      </c>
      <c r="E639" s="2" t="s">
        <v>382</v>
      </c>
      <c r="F639" s="2" t="s">
        <v>389</v>
      </c>
      <c r="G639" s="2">
        <v>1</v>
      </c>
      <c r="H639" s="2">
        <v>50000</v>
      </c>
      <c r="I639" s="2">
        <v>0.15</v>
      </c>
      <c r="J639" s="3">
        <f t="shared" si="10"/>
        <v>42500</v>
      </c>
      <c r="K639" s="2" t="str">
        <f>TEXT(Table4[OrderDate], "mmmm")</f>
        <v>July</v>
      </c>
      <c r="L639" s="2">
        <f>IF(C639 = "", 0, IF(COUNTIF($C$2:C639, C639) = 1, 1, 0))</f>
        <v>0</v>
      </c>
    </row>
    <row r="640" spans="1:12" x14ac:dyDescent="0.25">
      <c r="A640" s="2">
        <v>1340</v>
      </c>
      <c r="B640" s="21" t="s">
        <v>49</v>
      </c>
      <c r="C640" s="2" t="s">
        <v>364</v>
      </c>
      <c r="D640" s="2" t="s">
        <v>375</v>
      </c>
      <c r="E640" s="2" t="s">
        <v>386</v>
      </c>
      <c r="F640" s="2" t="s">
        <v>391</v>
      </c>
      <c r="G640" s="2">
        <v>5</v>
      </c>
      <c r="H640" s="2">
        <v>7000</v>
      </c>
      <c r="I640" s="2">
        <v>0</v>
      </c>
      <c r="J640" s="3">
        <f t="shared" si="10"/>
        <v>35000</v>
      </c>
      <c r="K640" s="2" t="str">
        <f>TEXT(Table4[OrderDate], "mmmm")</f>
        <v>May</v>
      </c>
      <c r="L640" s="2">
        <f>IF(C640 = "", 0, IF(COUNTIF($C$2:C640, C640) = 1, 1, 0))</f>
        <v>0</v>
      </c>
    </row>
    <row r="641" spans="1:12" x14ac:dyDescent="0.25">
      <c r="A641" s="2">
        <v>1640</v>
      </c>
      <c r="B641" s="21" t="s">
        <v>65</v>
      </c>
      <c r="C641" s="2" t="s">
        <v>363</v>
      </c>
      <c r="D641" s="2" t="s">
        <v>376</v>
      </c>
      <c r="E641" s="2" t="s">
        <v>385</v>
      </c>
      <c r="F641" s="2" t="s">
        <v>390</v>
      </c>
      <c r="G641" s="2">
        <v>3</v>
      </c>
      <c r="H641" s="2">
        <v>2000</v>
      </c>
      <c r="I641" s="2">
        <v>0</v>
      </c>
      <c r="J641" s="3">
        <f t="shared" si="10"/>
        <v>6000</v>
      </c>
      <c r="K641" s="2" t="str">
        <f>TEXT(Table4[OrderDate], "mmmm")</f>
        <v>April</v>
      </c>
      <c r="L641" s="2">
        <f>IF(C641 = "", 0, IF(COUNTIF($C$2:C641, C641) = 1, 1, 0))</f>
        <v>0</v>
      </c>
    </row>
    <row r="642" spans="1:12" x14ac:dyDescent="0.25">
      <c r="A642" s="2">
        <v>1641</v>
      </c>
      <c r="B642" s="21" t="s">
        <v>268</v>
      </c>
      <c r="C642" s="2" t="s">
        <v>362</v>
      </c>
      <c r="D642" s="2" t="s">
        <v>375</v>
      </c>
      <c r="E642" s="2" t="s">
        <v>388</v>
      </c>
      <c r="F642" s="2" t="s">
        <v>389</v>
      </c>
      <c r="G642" s="2">
        <v>3</v>
      </c>
      <c r="H642" s="2">
        <v>12000</v>
      </c>
      <c r="I642" s="2">
        <v>0.15</v>
      </c>
      <c r="J642" s="3">
        <f t="shared" ref="J642:J705" si="11">H642*(1-I642)*G642</f>
        <v>30600</v>
      </c>
      <c r="K642" s="2" t="str">
        <f>TEXT(Table4[OrderDate], "mmmm")</f>
        <v>February</v>
      </c>
      <c r="L642" s="2">
        <f>IF(C642 = "", 0, IF(COUNTIF($C$2:C642, C642) = 1, 1, 0))</f>
        <v>0</v>
      </c>
    </row>
    <row r="643" spans="1:12" x14ac:dyDescent="0.25">
      <c r="A643" s="2">
        <v>1642</v>
      </c>
      <c r="B643" s="21" t="s">
        <v>255</v>
      </c>
      <c r="C643" s="2" t="s">
        <v>370</v>
      </c>
      <c r="D643" s="2" t="s">
        <v>376</v>
      </c>
      <c r="E643" s="2" t="s">
        <v>382</v>
      </c>
      <c r="F643" s="2" t="s">
        <v>389</v>
      </c>
      <c r="G643" s="2">
        <v>3</v>
      </c>
      <c r="H643" s="2">
        <v>50000</v>
      </c>
      <c r="I643" s="2">
        <v>0.1</v>
      </c>
      <c r="J643" s="3">
        <f t="shared" si="11"/>
        <v>135000</v>
      </c>
      <c r="K643" s="2" t="str">
        <f>TEXT(Table4[OrderDate], "mmmm")</f>
        <v>November</v>
      </c>
      <c r="L643" s="2">
        <f>IF(C643 = "", 0, IF(COUNTIF($C$2:C643, C643) = 1, 1, 0))</f>
        <v>0</v>
      </c>
    </row>
    <row r="644" spans="1:12" x14ac:dyDescent="0.25">
      <c r="A644" s="2">
        <v>1643</v>
      </c>
      <c r="B644" s="21" t="s">
        <v>318</v>
      </c>
      <c r="C644" s="2" t="s">
        <v>361</v>
      </c>
      <c r="D644" s="2" t="s">
        <v>378</v>
      </c>
      <c r="E644" s="2" t="s">
        <v>381</v>
      </c>
      <c r="F644" s="2" t="s">
        <v>389</v>
      </c>
      <c r="G644" s="2">
        <v>1</v>
      </c>
      <c r="H644" s="2">
        <v>20000</v>
      </c>
      <c r="I644" s="2">
        <v>0.05</v>
      </c>
      <c r="J644" s="3">
        <f t="shared" si="11"/>
        <v>19000</v>
      </c>
      <c r="K644" s="2" t="str">
        <f>TEXT(Table4[OrderDate], "mmmm")</f>
        <v>September</v>
      </c>
      <c r="L644" s="2">
        <f>IF(C644 = "", 0, IF(COUNTIF($C$2:C644, C644) = 1, 1, 0))</f>
        <v>0</v>
      </c>
    </row>
    <row r="645" spans="1:12" x14ac:dyDescent="0.25">
      <c r="A645" s="2">
        <v>1644</v>
      </c>
      <c r="B645" s="21" t="s">
        <v>305</v>
      </c>
      <c r="C645" s="2" t="s">
        <v>362</v>
      </c>
      <c r="D645" s="2" t="s">
        <v>378</v>
      </c>
      <c r="E645" s="2" t="s">
        <v>381</v>
      </c>
      <c r="F645" s="2" t="s">
        <v>389</v>
      </c>
      <c r="G645" s="2">
        <v>3</v>
      </c>
      <c r="H645" s="2">
        <v>20000</v>
      </c>
      <c r="I645" s="2">
        <v>0.05</v>
      </c>
      <c r="J645" s="3">
        <f t="shared" si="11"/>
        <v>57000</v>
      </c>
      <c r="K645" s="2" t="str">
        <f>TEXT(Table4[OrderDate], "mmmm")</f>
        <v>April</v>
      </c>
      <c r="L645" s="2">
        <f>IF(C645 = "", 0, IF(COUNTIF($C$2:C645, C645) = 1, 1, 0))</f>
        <v>0</v>
      </c>
    </row>
    <row r="646" spans="1:12" x14ac:dyDescent="0.25">
      <c r="A646" s="2">
        <v>1645</v>
      </c>
      <c r="B646" s="21" t="s">
        <v>144</v>
      </c>
      <c r="C646" s="2" t="s">
        <v>362</v>
      </c>
      <c r="D646" s="2" t="s">
        <v>378</v>
      </c>
      <c r="E646" s="2" t="s">
        <v>387</v>
      </c>
      <c r="F646" s="2" t="s">
        <v>391</v>
      </c>
      <c r="G646" s="2">
        <v>4</v>
      </c>
      <c r="H646" s="2">
        <v>3000</v>
      </c>
      <c r="I646" s="2">
        <v>0.05</v>
      </c>
      <c r="J646" s="3">
        <f t="shared" si="11"/>
        <v>11400</v>
      </c>
      <c r="K646" s="2" t="str">
        <f>TEXT(Table4[OrderDate], "mmmm")</f>
        <v>June</v>
      </c>
      <c r="L646" s="2">
        <f>IF(C646 = "", 0, IF(COUNTIF($C$2:C646, C646) = 1, 1, 0))</f>
        <v>0</v>
      </c>
    </row>
    <row r="647" spans="1:12" x14ac:dyDescent="0.25">
      <c r="A647" s="2">
        <v>1882</v>
      </c>
      <c r="B647" s="21" t="s">
        <v>152</v>
      </c>
      <c r="C647" s="2" t="s">
        <v>361</v>
      </c>
      <c r="D647" s="2" t="s">
        <v>380</v>
      </c>
      <c r="E647" s="2" t="s">
        <v>386</v>
      </c>
      <c r="F647" s="2" t="s">
        <v>391</v>
      </c>
      <c r="G647" s="2">
        <v>5</v>
      </c>
      <c r="H647" s="2">
        <v>7000</v>
      </c>
      <c r="I647" s="2">
        <v>0</v>
      </c>
      <c r="J647" s="3">
        <f t="shared" si="11"/>
        <v>35000</v>
      </c>
      <c r="K647" s="2" t="str">
        <f>TEXT(Table4[OrderDate], "mmmm")</f>
        <v>December</v>
      </c>
      <c r="L647" s="2">
        <f>IF(C647 = "", 0, IF(COUNTIF($C$2:C647, C647) = 1, 1, 0))</f>
        <v>0</v>
      </c>
    </row>
    <row r="648" spans="1:12" x14ac:dyDescent="0.25">
      <c r="A648" s="2">
        <v>1647</v>
      </c>
      <c r="B648" s="21" t="s">
        <v>54</v>
      </c>
      <c r="C648" s="2" t="s">
        <v>358</v>
      </c>
      <c r="D648" s="2" t="s">
        <v>380</v>
      </c>
      <c r="E648" s="2" t="s">
        <v>388</v>
      </c>
      <c r="F648" s="2" t="s">
        <v>389</v>
      </c>
      <c r="G648" s="2">
        <v>1</v>
      </c>
      <c r="H648" s="2">
        <v>12000</v>
      </c>
      <c r="I648" s="2">
        <v>0</v>
      </c>
      <c r="J648" s="3">
        <f t="shared" si="11"/>
        <v>12000</v>
      </c>
      <c r="K648" s="2" t="str">
        <f>TEXT(Table4[OrderDate], "mmmm")</f>
        <v>October</v>
      </c>
      <c r="L648" s="2">
        <f>IF(C648 = "", 0, IF(COUNTIF($C$2:C648, C648) = 1, 1, 0))</f>
        <v>0</v>
      </c>
    </row>
    <row r="649" spans="1:12" x14ac:dyDescent="0.25">
      <c r="A649" s="2">
        <v>1961</v>
      </c>
      <c r="B649" s="21" t="s">
        <v>55</v>
      </c>
      <c r="C649" s="2" t="s">
        <v>359</v>
      </c>
      <c r="D649" s="2" t="s">
        <v>380</v>
      </c>
      <c r="E649" s="2" t="s">
        <v>386</v>
      </c>
      <c r="F649" s="2" t="s">
        <v>391</v>
      </c>
      <c r="G649" s="2">
        <v>5</v>
      </c>
      <c r="H649" s="2">
        <v>7000</v>
      </c>
      <c r="I649" s="2">
        <v>0</v>
      </c>
      <c r="J649" s="3">
        <f t="shared" si="11"/>
        <v>35000</v>
      </c>
      <c r="K649" s="2" t="str">
        <f>TEXT(Table4[OrderDate], "mmmm")</f>
        <v>June</v>
      </c>
      <c r="L649" s="2">
        <f>IF(C649 = "", 0, IF(COUNTIF($C$2:C649, C649) = 1, 1, 0))</f>
        <v>0</v>
      </c>
    </row>
    <row r="650" spans="1:12" x14ac:dyDescent="0.25">
      <c r="A650" s="2">
        <v>1965</v>
      </c>
      <c r="B650" s="21" t="s">
        <v>184</v>
      </c>
      <c r="C650" s="2" t="s">
        <v>367</v>
      </c>
      <c r="D650" s="2" t="s">
        <v>377</v>
      </c>
      <c r="E650" s="2" t="s">
        <v>386</v>
      </c>
      <c r="F650" s="2" t="s">
        <v>391</v>
      </c>
      <c r="G650" s="2">
        <v>5</v>
      </c>
      <c r="H650" s="2">
        <v>7000</v>
      </c>
      <c r="I650" s="2">
        <v>0</v>
      </c>
      <c r="J650" s="3">
        <f t="shared" si="11"/>
        <v>35000</v>
      </c>
      <c r="K650" s="2" t="str">
        <f>TEXT(Table4[OrderDate], "mmmm")</f>
        <v>May</v>
      </c>
      <c r="L650" s="2">
        <f>IF(C650 = "", 0, IF(COUNTIF($C$2:C650, C650) = 1, 1, 0))</f>
        <v>0</v>
      </c>
    </row>
    <row r="651" spans="1:12" x14ac:dyDescent="0.25">
      <c r="A651" s="2">
        <v>1650</v>
      </c>
      <c r="B651" s="21" t="s">
        <v>158</v>
      </c>
      <c r="C651" s="2" t="s">
        <v>361</v>
      </c>
      <c r="D651" s="2" t="s">
        <v>373</v>
      </c>
      <c r="E651" s="2" t="s">
        <v>383</v>
      </c>
      <c r="F651" s="2" t="s">
        <v>390</v>
      </c>
      <c r="G651" s="2">
        <v>3</v>
      </c>
      <c r="H651" s="2">
        <v>1500</v>
      </c>
      <c r="I651" s="2">
        <v>0.1</v>
      </c>
      <c r="J651" s="3">
        <f t="shared" si="11"/>
        <v>4050</v>
      </c>
      <c r="K651" s="2" t="str">
        <f>TEXT(Table4[OrderDate], "mmmm")</f>
        <v>August</v>
      </c>
      <c r="L651" s="2">
        <f>IF(C651 = "", 0, IF(COUNTIF($C$2:C651, C651) = 1, 1, 0))</f>
        <v>0</v>
      </c>
    </row>
    <row r="652" spans="1:12" x14ac:dyDescent="0.25">
      <c r="A652" s="2">
        <v>1013</v>
      </c>
      <c r="B652" s="21" t="s">
        <v>22</v>
      </c>
      <c r="C652" s="2" t="s">
        <v>366</v>
      </c>
      <c r="D652" s="2" t="s">
        <v>374</v>
      </c>
      <c r="E652" s="2" t="s">
        <v>386</v>
      </c>
      <c r="F652" s="2" t="s">
        <v>391</v>
      </c>
      <c r="G652" s="2">
        <v>5</v>
      </c>
      <c r="H652" s="2">
        <v>7000</v>
      </c>
      <c r="I652" s="2">
        <v>0.05</v>
      </c>
      <c r="J652" s="3">
        <f t="shared" si="11"/>
        <v>33250</v>
      </c>
      <c r="K652" s="2" t="str">
        <f>TEXT(Table4[OrderDate], "mmmm")</f>
        <v>December</v>
      </c>
      <c r="L652" s="2">
        <f>IF(C652 = "", 0, IF(COUNTIF($C$2:C652, C652) = 1, 1, 0))</f>
        <v>0</v>
      </c>
    </row>
    <row r="653" spans="1:12" x14ac:dyDescent="0.25">
      <c r="A653" s="2">
        <v>1652</v>
      </c>
      <c r="B653" s="21" t="s">
        <v>319</v>
      </c>
      <c r="C653" s="2" t="s">
        <v>364</v>
      </c>
      <c r="D653" s="2" t="s">
        <v>373</v>
      </c>
      <c r="E653" s="2" t="s">
        <v>387</v>
      </c>
      <c r="F653" s="2" t="s">
        <v>391</v>
      </c>
      <c r="G653" s="2">
        <v>2</v>
      </c>
      <c r="H653" s="2">
        <v>3000</v>
      </c>
      <c r="I653" s="2">
        <v>0.1</v>
      </c>
      <c r="J653" s="3">
        <f t="shared" si="11"/>
        <v>5400</v>
      </c>
      <c r="K653" s="2" t="str">
        <f>TEXT(Table4[OrderDate], "mmmm")</f>
        <v>December</v>
      </c>
      <c r="L653" s="2">
        <f>IF(C653 = "", 0, IF(COUNTIF($C$2:C653, C653) = 1, 1, 0))</f>
        <v>0</v>
      </c>
    </row>
    <row r="654" spans="1:12" x14ac:dyDescent="0.25">
      <c r="A654" s="2">
        <v>1052</v>
      </c>
      <c r="B654" s="21" t="s">
        <v>55</v>
      </c>
      <c r="C654" s="2" t="s">
        <v>371</v>
      </c>
      <c r="D654" s="2" t="s">
        <v>379</v>
      </c>
      <c r="E654" s="2" t="s">
        <v>386</v>
      </c>
      <c r="F654" s="2" t="s">
        <v>391</v>
      </c>
      <c r="G654" s="2">
        <v>5</v>
      </c>
      <c r="H654" s="2">
        <v>7000</v>
      </c>
      <c r="I654" s="2">
        <v>0.05</v>
      </c>
      <c r="J654" s="3">
        <f t="shared" si="11"/>
        <v>33250</v>
      </c>
      <c r="K654" s="2" t="str">
        <f>TEXT(Table4[OrderDate], "mmmm")</f>
        <v>June</v>
      </c>
      <c r="L654" s="2">
        <f>IF(C654 = "", 0, IF(COUNTIF($C$2:C654, C654) = 1, 1, 0))</f>
        <v>0</v>
      </c>
    </row>
    <row r="655" spans="1:12" x14ac:dyDescent="0.25">
      <c r="A655" s="2">
        <v>1235</v>
      </c>
      <c r="B655" s="21" t="s">
        <v>120</v>
      </c>
      <c r="C655" s="2" t="s">
        <v>365</v>
      </c>
      <c r="D655" s="2" t="s">
        <v>373</v>
      </c>
      <c r="E655" s="2" t="s">
        <v>386</v>
      </c>
      <c r="F655" s="2" t="s">
        <v>391</v>
      </c>
      <c r="G655" s="2">
        <v>5</v>
      </c>
      <c r="H655" s="2">
        <v>7000</v>
      </c>
      <c r="I655" s="2">
        <v>0.05</v>
      </c>
      <c r="J655" s="3">
        <f t="shared" si="11"/>
        <v>33250</v>
      </c>
      <c r="K655" s="2" t="str">
        <f>TEXT(Table4[OrderDate], "mmmm")</f>
        <v>June</v>
      </c>
      <c r="L655" s="2">
        <f>IF(C655 = "", 0, IF(COUNTIF($C$2:C655, C655) = 1, 1, 0))</f>
        <v>0</v>
      </c>
    </row>
    <row r="656" spans="1:12" x14ac:dyDescent="0.25">
      <c r="A656" s="2">
        <v>1315</v>
      </c>
      <c r="B656" s="21" t="s">
        <v>170</v>
      </c>
      <c r="C656" s="2" t="s">
        <v>367</v>
      </c>
      <c r="D656" s="2" t="s">
        <v>373</v>
      </c>
      <c r="E656" s="2" t="s">
        <v>386</v>
      </c>
      <c r="F656" s="2" t="s">
        <v>391</v>
      </c>
      <c r="G656" s="2">
        <v>5</v>
      </c>
      <c r="H656" s="2">
        <v>7000</v>
      </c>
      <c r="I656" s="2">
        <v>0.05</v>
      </c>
      <c r="J656" s="3">
        <f t="shared" si="11"/>
        <v>33250</v>
      </c>
      <c r="K656" s="2" t="str">
        <f>TEXT(Table4[OrderDate], "mmmm")</f>
        <v>January</v>
      </c>
      <c r="L656" s="2">
        <f>IF(C656 = "", 0, IF(COUNTIF($C$2:C656, C656) = 1, 1, 0))</f>
        <v>0</v>
      </c>
    </row>
    <row r="657" spans="1:12" x14ac:dyDescent="0.25">
      <c r="A657" s="2">
        <v>1656</v>
      </c>
      <c r="B657" s="21" t="s">
        <v>63</v>
      </c>
      <c r="C657" s="2" t="s">
        <v>369</v>
      </c>
      <c r="D657" s="2" t="s">
        <v>379</v>
      </c>
      <c r="E657" s="2" t="s">
        <v>382</v>
      </c>
      <c r="F657" s="2" t="s">
        <v>389</v>
      </c>
      <c r="G657" s="2">
        <v>1</v>
      </c>
      <c r="H657" s="2">
        <v>50000</v>
      </c>
      <c r="I657" s="2">
        <v>0.05</v>
      </c>
      <c r="J657" s="3">
        <f t="shared" si="11"/>
        <v>47500</v>
      </c>
      <c r="K657" s="2" t="str">
        <f>TEXT(Table4[OrderDate], "mmmm")</f>
        <v>May</v>
      </c>
      <c r="L657" s="2">
        <f>IF(C657 = "", 0, IF(COUNTIF($C$2:C657, C657) = 1, 1, 0))</f>
        <v>0</v>
      </c>
    </row>
    <row r="658" spans="1:12" x14ac:dyDescent="0.25">
      <c r="A658" s="2">
        <v>1657</v>
      </c>
      <c r="B658" s="21" t="s">
        <v>152</v>
      </c>
      <c r="C658" s="2" t="s">
        <v>370</v>
      </c>
      <c r="D658" s="2" t="s">
        <v>375</v>
      </c>
      <c r="E658" s="2" t="s">
        <v>386</v>
      </c>
      <c r="F658" s="2" t="s">
        <v>391</v>
      </c>
      <c r="G658" s="2">
        <v>2</v>
      </c>
      <c r="H658" s="2">
        <v>7000</v>
      </c>
      <c r="I658" s="2">
        <v>0</v>
      </c>
      <c r="J658" s="3">
        <f t="shared" si="11"/>
        <v>14000</v>
      </c>
      <c r="K658" s="2" t="str">
        <f>TEXT(Table4[OrderDate], "mmmm")</f>
        <v>December</v>
      </c>
      <c r="L658" s="2">
        <f>IF(C658 = "", 0, IF(COUNTIF($C$2:C658, C658) = 1, 1, 0))</f>
        <v>0</v>
      </c>
    </row>
    <row r="659" spans="1:12" x14ac:dyDescent="0.25">
      <c r="A659" s="2">
        <v>1658</v>
      </c>
      <c r="B659" s="21" t="s">
        <v>94</v>
      </c>
      <c r="C659" s="2" t="s">
        <v>357</v>
      </c>
      <c r="D659" s="2" t="s">
        <v>378</v>
      </c>
      <c r="E659" s="2" t="s">
        <v>382</v>
      </c>
      <c r="F659" s="2" t="s">
        <v>389</v>
      </c>
      <c r="G659" s="2">
        <v>3</v>
      </c>
      <c r="H659" s="2">
        <v>50000</v>
      </c>
      <c r="I659" s="2">
        <v>0.15</v>
      </c>
      <c r="J659" s="3">
        <f t="shared" si="11"/>
        <v>127500</v>
      </c>
      <c r="K659" s="2" t="str">
        <f>TEXT(Table4[OrderDate], "mmmm")</f>
        <v>February</v>
      </c>
      <c r="L659" s="2">
        <f>IF(C659 = "", 0, IF(COUNTIF($C$2:C659, C659) = 1, 1, 0))</f>
        <v>0</v>
      </c>
    </row>
    <row r="660" spans="1:12" x14ac:dyDescent="0.25">
      <c r="A660" s="2">
        <v>1788</v>
      </c>
      <c r="B660" s="21" t="s">
        <v>337</v>
      </c>
      <c r="C660" s="2" t="s">
        <v>364</v>
      </c>
      <c r="D660" s="2" t="s">
        <v>375</v>
      </c>
      <c r="E660" s="2" t="s">
        <v>386</v>
      </c>
      <c r="F660" s="2" t="s">
        <v>391</v>
      </c>
      <c r="G660" s="2">
        <v>5</v>
      </c>
      <c r="H660" s="2">
        <v>7000</v>
      </c>
      <c r="I660" s="2">
        <v>0.05</v>
      </c>
      <c r="J660" s="3">
        <f t="shared" si="11"/>
        <v>33250</v>
      </c>
      <c r="K660" s="2" t="str">
        <f>TEXT(Table4[OrderDate], "mmmm")</f>
        <v>January</v>
      </c>
      <c r="L660" s="2">
        <f>IF(C660 = "", 0, IF(COUNTIF($C$2:C660, C660) = 1, 1, 0))</f>
        <v>0</v>
      </c>
    </row>
    <row r="661" spans="1:12" x14ac:dyDescent="0.25">
      <c r="A661" s="2">
        <v>1660</v>
      </c>
      <c r="B661" s="21" t="s">
        <v>123</v>
      </c>
      <c r="C661" s="2" t="s">
        <v>372</v>
      </c>
      <c r="D661" s="2" t="s">
        <v>374</v>
      </c>
      <c r="E661" s="2" t="s">
        <v>383</v>
      </c>
      <c r="F661" s="2" t="s">
        <v>390</v>
      </c>
      <c r="G661" s="2">
        <v>4</v>
      </c>
      <c r="H661" s="2">
        <v>1500</v>
      </c>
      <c r="I661" s="2">
        <v>0.1</v>
      </c>
      <c r="J661" s="3">
        <f t="shared" si="11"/>
        <v>5400</v>
      </c>
      <c r="K661" s="2" t="str">
        <f>TEXT(Table4[OrderDate], "mmmm")</f>
        <v>October</v>
      </c>
      <c r="L661" s="2">
        <f>IF(C661 = "", 0, IF(COUNTIF($C$2:C661, C661) = 1, 1, 0))</f>
        <v>0</v>
      </c>
    </row>
    <row r="662" spans="1:12" x14ac:dyDescent="0.25">
      <c r="A662" s="2">
        <v>1661</v>
      </c>
      <c r="B662" s="21" t="s">
        <v>187</v>
      </c>
      <c r="C662" s="2" t="s">
        <v>364</v>
      </c>
      <c r="D662" s="2" t="s">
        <v>375</v>
      </c>
      <c r="E662" s="2" t="s">
        <v>386</v>
      </c>
      <c r="F662" s="2" t="s">
        <v>391</v>
      </c>
      <c r="G662" s="2">
        <v>2</v>
      </c>
      <c r="H662" s="2">
        <v>7000</v>
      </c>
      <c r="I662" s="2">
        <v>0.15</v>
      </c>
      <c r="J662" s="3">
        <f t="shared" si="11"/>
        <v>11900</v>
      </c>
      <c r="K662" s="2" t="str">
        <f>TEXT(Table4[OrderDate], "mmmm")</f>
        <v>April</v>
      </c>
      <c r="L662" s="2">
        <f>IF(C662 = "", 0, IF(COUNTIF($C$2:C662, C662) = 1, 1, 0))</f>
        <v>0</v>
      </c>
    </row>
    <row r="663" spans="1:12" x14ac:dyDescent="0.25">
      <c r="A663" s="2">
        <v>1662</v>
      </c>
      <c r="B663" s="21" t="s">
        <v>78</v>
      </c>
      <c r="C663" s="2" t="s">
        <v>365</v>
      </c>
      <c r="D663" s="2" t="s">
        <v>373</v>
      </c>
      <c r="E663" s="2" t="s">
        <v>387</v>
      </c>
      <c r="F663" s="2" t="s">
        <v>391</v>
      </c>
      <c r="G663" s="2">
        <v>3</v>
      </c>
      <c r="H663" s="2">
        <v>3000</v>
      </c>
      <c r="I663" s="2">
        <v>0.15</v>
      </c>
      <c r="J663" s="3">
        <f t="shared" si="11"/>
        <v>7650</v>
      </c>
      <c r="K663" s="2" t="str">
        <f>TEXT(Table4[OrderDate], "mmmm")</f>
        <v>March</v>
      </c>
      <c r="L663" s="2">
        <f>IF(C663 = "", 0, IF(COUNTIF($C$2:C663, C663) = 1, 1, 0))</f>
        <v>0</v>
      </c>
    </row>
    <row r="664" spans="1:12" x14ac:dyDescent="0.25">
      <c r="A664" s="2">
        <v>1114</v>
      </c>
      <c r="B664" s="21" t="s">
        <v>104</v>
      </c>
      <c r="C664" s="2" t="s">
        <v>371</v>
      </c>
      <c r="D664" s="2" t="s">
        <v>379</v>
      </c>
      <c r="E664" s="2" t="s">
        <v>386</v>
      </c>
      <c r="F664" s="2" t="s">
        <v>391</v>
      </c>
      <c r="G664" s="2">
        <v>5</v>
      </c>
      <c r="H664" s="2">
        <v>7000</v>
      </c>
      <c r="I664" s="2">
        <v>0.1</v>
      </c>
      <c r="J664" s="3">
        <f t="shared" si="11"/>
        <v>31500</v>
      </c>
      <c r="K664" s="2" t="str">
        <f>TEXT(Table4[OrderDate], "mmmm")</f>
        <v>February</v>
      </c>
      <c r="L664" s="2">
        <f>IF(C664 = "", 0, IF(COUNTIF($C$2:C664, C664) = 1, 1, 0))</f>
        <v>0</v>
      </c>
    </row>
    <row r="665" spans="1:12" x14ac:dyDescent="0.25">
      <c r="A665" s="2">
        <v>1144</v>
      </c>
      <c r="B665" s="21" t="s">
        <v>125</v>
      </c>
      <c r="C665" s="2" t="s">
        <v>367</v>
      </c>
      <c r="D665" s="2" t="s">
        <v>380</v>
      </c>
      <c r="E665" s="2" t="s">
        <v>386</v>
      </c>
      <c r="F665" s="2" t="s">
        <v>391</v>
      </c>
      <c r="G665" s="2">
        <v>5</v>
      </c>
      <c r="H665" s="2">
        <v>7000</v>
      </c>
      <c r="I665" s="2">
        <v>0.1</v>
      </c>
      <c r="J665" s="3">
        <f t="shared" si="11"/>
        <v>31500</v>
      </c>
      <c r="K665" s="2" t="str">
        <f>TEXT(Table4[OrderDate], "mmmm")</f>
        <v>July</v>
      </c>
      <c r="L665" s="2">
        <f>IF(C665 = "", 0, IF(COUNTIF($C$2:C665, C665) = 1, 1, 0))</f>
        <v>0</v>
      </c>
    </row>
    <row r="666" spans="1:12" x14ac:dyDescent="0.25">
      <c r="A666" s="2">
        <v>1665</v>
      </c>
      <c r="B666" s="21" t="s">
        <v>212</v>
      </c>
      <c r="C666" s="2" t="s">
        <v>361</v>
      </c>
      <c r="D666" s="2" t="s">
        <v>374</v>
      </c>
      <c r="E666" s="2" t="s">
        <v>382</v>
      </c>
      <c r="F666" s="2" t="s">
        <v>389</v>
      </c>
      <c r="G666" s="2">
        <v>3</v>
      </c>
      <c r="H666" s="2">
        <v>50000</v>
      </c>
      <c r="I666" s="2">
        <v>0.15</v>
      </c>
      <c r="J666" s="3">
        <f t="shared" si="11"/>
        <v>127500</v>
      </c>
      <c r="K666" s="2" t="str">
        <f>TEXT(Table4[OrderDate], "mmmm")</f>
        <v>December</v>
      </c>
      <c r="L666" s="2">
        <f>IF(C666 = "", 0, IF(COUNTIF($C$2:C666, C666) = 1, 1, 0))</f>
        <v>0</v>
      </c>
    </row>
    <row r="667" spans="1:12" x14ac:dyDescent="0.25">
      <c r="A667" s="2">
        <v>1666</v>
      </c>
      <c r="B667" s="21" t="s">
        <v>113</v>
      </c>
      <c r="C667" s="2" t="s">
        <v>370</v>
      </c>
      <c r="D667" s="2" t="s">
        <v>380</v>
      </c>
      <c r="E667" s="2" t="s">
        <v>384</v>
      </c>
      <c r="F667" s="2" t="s">
        <v>389</v>
      </c>
      <c r="G667" s="2">
        <v>3</v>
      </c>
      <c r="H667" s="2">
        <v>30000</v>
      </c>
      <c r="I667" s="2">
        <v>0</v>
      </c>
      <c r="J667" s="3">
        <f t="shared" si="11"/>
        <v>90000</v>
      </c>
      <c r="K667" s="2" t="str">
        <f>TEXT(Table4[OrderDate], "mmmm")</f>
        <v>November</v>
      </c>
      <c r="L667" s="2">
        <f>IF(C667 = "", 0, IF(COUNTIF($C$2:C667, C667) = 1, 1, 0))</f>
        <v>0</v>
      </c>
    </row>
    <row r="668" spans="1:12" x14ac:dyDescent="0.25">
      <c r="A668" s="2">
        <v>1667</v>
      </c>
      <c r="B668" s="21" t="s">
        <v>322</v>
      </c>
      <c r="C668" s="2" t="s">
        <v>357</v>
      </c>
      <c r="D668" s="2" t="s">
        <v>373</v>
      </c>
      <c r="E668" s="2" t="s">
        <v>385</v>
      </c>
      <c r="F668" s="2" t="s">
        <v>390</v>
      </c>
      <c r="G668" s="2">
        <v>1</v>
      </c>
      <c r="H668" s="2">
        <v>2000</v>
      </c>
      <c r="I668" s="2">
        <v>0.1</v>
      </c>
      <c r="J668" s="3">
        <f t="shared" si="11"/>
        <v>1800</v>
      </c>
      <c r="K668" s="2" t="str">
        <f>TEXT(Table4[OrderDate], "mmmm")</f>
        <v>September</v>
      </c>
      <c r="L668" s="2">
        <f>IF(C668 = "", 0, IF(COUNTIF($C$2:C668, C668) = 1, 1, 0))</f>
        <v>0</v>
      </c>
    </row>
    <row r="669" spans="1:12" x14ac:dyDescent="0.25">
      <c r="A669" s="2">
        <v>1201</v>
      </c>
      <c r="B669" s="21" t="s">
        <v>103</v>
      </c>
      <c r="C669" s="2" t="s">
        <v>362</v>
      </c>
      <c r="D669" s="2" t="s">
        <v>375</v>
      </c>
      <c r="E669" s="2" t="s">
        <v>386</v>
      </c>
      <c r="F669" s="2" t="s">
        <v>391</v>
      </c>
      <c r="G669" s="2">
        <v>5</v>
      </c>
      <c r="H669" s="2">
        <v>7000</v>
      </c>
      <c r="I669" s="2">
        <v>0.1</v>
      </c>
      <c r="J669" s="3">
        <f t="shared" si="11"/>
        <v>31500</v>
      </c>
      <c r="K669" s="2" t="str">
        <f>TEXT(Table4[OrderDate], "mmmm")</f>
        <v>June</v>
      </c>
      <c r="L669" s="2">
        <f>IF(C669 = "", 0, IF(COUNTIF($C$2:C669, C669) = 1, 1, 0))</f>
        <v>0</v>
      </c>
    </row>
    <row r="670" spans="1:12" x14ac:dyDescent="0.25">
      <c r="A670" s="2">
        <v>1669</v>
      </c>
      <c r="B670" s="21" t="s">
        <v>53</v>
      </c>
      <c r="C670" s="2" t="s">
        <v>366</v>
      </c>
      <c r="D670" s="2" t="s">
        <v>376</v>
      </c>
      <c r="E670" s="2" t="s">
        <v>385</v>
      </c>
      <c r="F670" s="2" t="s">
        <v>390</v>
      </c>
      <c r="G670" s="2">
        <v>2</v>
      </c>
      <c r="H670" s="2">
        <v>2000</v>
      </c>
      <c r="I670" s="2">
        <v>0.05</v>
      </c>
      <c r="J670" s="3">
        <f t="shared" si="11"/>
        <v>3800</v>
      </c>
      <c r="K670" s="2" t="str">
        <f>TEXT(Table4[OrderDate], "mmmm")</f>
        <v>December</v>
      </c>
      <c r="L670" s="2">
        <f>IF(C670 = "", 0, IF(COUNTIF($C$2:C670, C670) = 1, 1, 0))</f>
        <v>0</v>
      </c>
    </row>
    <row r="671" spans="1:12" x14ac:dyDescent="0.25">
      <c r="A671" s="2">
        <v>1670</v>
      </c>
      <c r="B671" s="21" t="s">
        <v>269</v>
      </c>
      <c r="C671" s="2" t="s">
        <v>367</v>
      </c>
      <c r="D671" s="2" t="s">
        <v>374</v>
      </c>
      <c r="E671" s="2" t="s">
        <v>385</v>
      </c>
      <c r="F671" s="2" t="s">
        <v>390</v>
      </c>
      <c r="G671" s="2">
        <v>3</v>
      </c>
      <c r="H671" s="2">
        <v>2000</v>
      </c>
      <c r="I671" s="2">
        <v>0.05</v>
      </c>
      <c r="J671" s="3">
        <f t="shared" si="11"/>
        <v>5700</v>
      </c>
      <c r="K671" s="2" t="str">
        <f>TEXT(Table4[OrderDate], "mmmm")</f>
        <v>November</v>
      </c>
      <c r="L671" s="2">
        <f>IF(C671 = "", 0, IF(COUNTIF($C$2:C671, C671) = 1, 1, 0))</f>
        <v>0</v>
      </c>
    </row>
    <row r="672" spans="1:12" x14ac:dyDescent="0.25">
      <c r="A672" s="2">
        <v>1671</v>
      </c>
      <c r="B672" s="21" t="s">
        <v>195</v>
      </c>
      <c r="C672" s="2" t="s">
        <v>357</v>
      </c>
      <c r="D672" s="2" t="s">
        <v>374</v>
      </c>
      <c r="E672" s="2" t="s">
        <v>381</v>
      </c>
      <c r="F672" s="2" t="s">
        <v>389</v>
      </c>
      <c r="G672" s="2">
        <v>3</v>
      </c>
      <c r="H672" s="2">
        <v>20000</v>
      </c>
      <c r="I672" s="2">
        <v>0.15</v>
      </c>
      <c r="J672" s="3">
        <f t="shared" si="11"/>
        <v>51000</v>
      </c>
      <c r="K672" s="2" t="str">
        <f>TEXT(Table4[OrderDate], "mmmm")</f>
        <v>May</v>
      </c>
      <c r="L672" s="2">
        <f>IF(C672 = "", 0, IF(COUNTIF($C$2:C672, C672) = 1, 1, 0))</f>
        <v>0</v>
      </c>
    </row>
    <row r="673" spans="1:12" x14ac:dyDescent="0.25">
      <c r="A673" s="2">
        <v>1672</v>
      </c>
      <c r="B673" s="21" t="s">
        <v>28</v>
      </c>
      <c r="C673" s="2" t="s">
        <v>360</v>
      </c>
      <c r="D673" s="2" t="s">
        <v>379</v>
      </c>
      <c r="E673" s="2" t="s">
        <v>385</v>
      </c>
      <c r="F673" s="2" t="s">
        <v>390</v>
      </c>
      <c r="G673" s="2">
        <v>4</v>
      </c>
      <c r="H673" s="2">
        <v>2000</v>
      </c>
      <c r="I673" s="2">
        <v>0</v>
      </c>
      <c r="J673" s="3">
        <f t="shared" si="11"/>
        <v>8000</v>
      </c>
      <c r="K673" s="2" t="str">
        <f>TEXT(Table4[OrderDate], "mmmm")</f>
        <v>July</v>
      </c>
      <c r="L673" s="2">
        <f>IF(C673 = "", 0, IF(COUNTIF($C$2:C673, C673) = 1, 1, 0))</f>
        <v>0</v>
      </c>
    </row>
    <row r="674" spans="1:12" x14ac:dyDescent="0.25">
      <c r="A674" s="2">
        <v>1664</v>
      </c>
      <c r="B674" s="21" t="s">
        <v>57</v>
      </c>
      <c r="C674" s="2" t="s">
        <v>369</v>
      </c>
      <c r="D674" s="2" t="s">
        <v>379</v>
      </c>
      <c r="E674" s="2" t="s">
        <v>386</v>
      </c>
      <c r="F674" s="2" t="s">
        <v>391</v>
      </c>
      <c r="G674" s="2">
        <v>5</v>
      </c>
      <c r="H674" s="2">
        <v>7000</v>
      </c>
      <c r="I674" s="2">
        <v>0.1</v>
      </c>
      <c r="J674" s="3">
        <f t="shared" si="11"/>
        <v>31500</v>
      </c>
      <c r="K674" s="2" t="str">
        <f>TEXT(Table4[OrderDate], "mmmm")</f>
        <v>March</v>
      </c>
      <c r="L674" s="2">
        <f>IF(C674 = "", 0, IF(COUNTIF($C$2:C674, C674) = 1, 1, 0))</f>
        <v>0</v>
      </c>
    </row>
    <row r="675" spans="1:12" x14ac:dyDescent="0.25">
      <c r="A675" s="2">
        <v>1674</v>
      </c>
      <c r="B675" s="21" t="s">
        <v>302</v>
      </c>
      <c r="C675" s="2" t="s">
        <v>365</v>
      </c>
      <c r="D675" s="2" t="s">
        <v>377</v>
      </c>
      <c r="E675" s="2" t="s">
        <v>382</v>
      </c>
      <c r="F675" s="2" t="s">
        <v>389</v>
      </c>
      <c r="G675" s="2">
        <v>3</v>
      </c>
      <c r="H675" s="2">
        <v>50000</v>
      </c>
      <c r="I675" s="2">
        <v>0.05</v>
      </c>
      <c r="J675" s="3">
        <f t="shared" si="11"/>
        <v>142500</v>
      </c>
      <c r="K675" s="2" t="str">
        <f>TEXT(Table4[OrderDate], "mmmm")</f>
        <v>June</v>
      </c>
      <c r="L675" s="2">
        <f>IF(C675 = "", 0, IF(COUNTIF($C$2:C675, C675) = 1, 1, 0))</f>
        <v>0</v>
      </c>
    </row>
    <row r="676" spans="1:12" x14ac:dyDescent="0.25">
      <c r="A676" s="2">
        <v>1908</v>
      </c>
      <c r="B676" s="21" t="s">
        <v>337</v>
      </c>
      <c r="C676" s="2" t="s">
        <v>362</v>
      </c>
      <c r="D676" s="2" t="s">
        <v>376</v>
      </c>
      <c r="E676" s="2" t="s">
        <v>386</v>
      </c>
      <c r="F676" s="2" t="s">
        <v>391</v>
      </c>
      <c r="G676" s="2">
        <v>5</v>
      </c>
      <c r="H676" s="2">
        <v>7000</v>
      </c>
      <c r="I676" s="2">
        <v>0.1</v>
      </c>
      <c r="J676" s="3">
        <f t="shared" si="11"/>
        <v>31500</v>
      </c>
      <c r="K676" s="2" t="str">
        <f>TEXT(Table4[OrderDate], "mmmm")</f>
        <v>January</v>
      </c>
      <c r="L676" s="2">
        <f>IF(C676 = "", 0, IF(COUNTIF($C$2:C676, C676) = 1, 1, 0))</f>
        <v>0</v>
      </c>
    </row>
    <row r="677" spans="1:12" x14ac:dyDescent="0.25">
      <c r="A677" s="2">
        <v>1676</v>
      </c>
      <c r="B677" s="21" t="s">
        <v>276</v>
      </c>
      <c r="C677" s="2" t="s">
        <v>358</v>
      </c>
      <c r="D677" s="2" t="s">
        <v>377</v>
      </c>
      <c r="E677" s="2" t="s">
        <v>387</v>
      </c>
      <c r="F677" s="2" t="s">
        <v>391</v>
      </c>
      <c r="G677" s="2">
        <v>4</v>
      </c>
      <c r="H677" s="2">
        <v>3000</v>
      </c>
      <c r="I677" s="2">
        <v>0</v>
      </c>
      <c r="J677" s="3">
        <f t="shared" si="11"/>
        <v>12000</v>
      </c>
      <c r="K677" s="2" t="str">
        <f>TEXT(Table4[OrderDate], "mmmm")</f>
        <v>April</v>
      </c>
      <c r="L677" s="2">
        <f>IF(C677 = "", 0, IF(COUNTIF($C$2:C677, C677) = 1, 1, 0))</f>
        <v>0</v>
      </c>
    </row>
    <row r="678" spans="1:12" x14ac:dyDescent="0.25">
      <c r="A678" s="2">
        <v>1677</v>
      </c>
      <c r="B678" s="21" t="s">
        <v>85</v>
      </c>
      <c r="C678" s="2" t="s">
        <v>372</v>
      </c>
      <c r="D678" s="2" t="s">
        <v>377</v>
      </c>
      <c r="E678" s="2" t="s">
        <v>384</v>
      </c>
      <c r="F678" s="2" t="s">
        <v>389</v>
      </c>
      <c r="G678" s="2">
        <v>1</v>
      </c>
      <c r="H678" s="2">
        <v>30000</v>
      </c>
      <c r="I678" s="2">
        <v>0.15</v>
      </c>
      <c r="J678" s="3">
        <f t="shared" si="11"/>
        <v>25500</v>
      </c>
      <c r="K678" s="2" t="str">
        <f>TEXT(Table4[OrderDate], "mmmm")</f>
        <v>June</v>
      </c>
      <c r="L678" s="2">
        <f>IF(C678 = "", 0, IF(COUNTIF($C$2:C678, C678) = 1, 1, 0))</f>
        <v>0</v>
      </c>
    </row>
    <row r="679" spans="1:12" x14ac:dyDescent="0.25">
      <c r="A679" s="2">
        <v>1678</v>
      </c>
      <c r="B679" s="21" t="s">
        <v>259</v>
      </c>
      <c r="C679" s="2" t="s">
        <v>365</v>
      </c>
      <c r="D679" s="2" t="s">
        <v>375</v>
      </c>
      <c r="E679" s="2" t="s">
        <v>381</v>
      </c>
      <c r="F679" s="2" t="s">
        <v>389</v>
      </c>
      <c r="G679" s="2">
        <v>1</v>
      </c>
      <c r="H679" s="2">
        <v>20000</v>
      </c>
      <c r="I679" s="2">
        <v>0.05</v>
      </c>
      <c r="J679" s="3">
        <f t="shared" si="11"/>
        <v>19000</v>
      </c>
      <c r="K679" s="2" t="str">
        <f>TEXT(Table4[OrderDate], "mmmm")</f>
        <v>May</v>
      </c>
      <c r="L679" s="2">
        <f>IF(C679 = "", 0, IF(COUNTIF($C$2:C679, C679) = 1, 1, 0))</f>
        <v>0</v>
      </c>
    </row>
    <row r="680" spans="1:12" x14ac:dyDescent="0.25">
      <c r="A680" s="2">
        <v>1679</v>
      </c>
      <c r="B680" s="21" t="s">
        <v>98</v>
      </c>
      <c r="C680" s="2" t="s">
        <v>368</v>
      </c>
      <c r="D680" s="2" t="s">
        <v>378</v>
      </c>
      <c r="E680" s="2" t="s">
        <v>386</v>
      </c>
      <c r="F680" s="2" t="s">
        <v>391</v>
      </c>
      <c r="G680" s="2">
        <v>4</v>
      </c>
      <c r="H680" s="2">
        <v>7000</v>
      </c>
      <c r="I680" s="2">
        <v>0.15</v>
      </c>
      <c r="J680" s="3">
        <f t="shared" si="11"/>
        <v>23800</v>
      </c>
      <c r="K680" s="2" t="str">
        <f>TEXT(Table4[OrderDate], "mmmm")</f>
        <v>August</v>
      </c>
      <c r="L680" s="2">
        <f>IF(C680 = "", 0, IF(COUNTIF($C$2:C680, C680) = 1, 1, 0))</f>
        <v>0</v>
      </c>
    </row>
    <row r="681" spans="1:12" x14ac:dyDescent="0.25">
      <c r="A681" s="2">
        <v>1680</v>
      </c>
      <c r="B681" s="21" t="s">
        <v>323</v>
      </c>
      <c r="C681" s="2" t="s">
        <v>362</v>
      </c>
      <c r="D681" s="2" t="s">
        <v>374</v>
      </c>
      <c r="E681" s="2" t="s">
        <v>385</v>
      </c>
      <c r="F681" s="2" t="s">
        <v>390</v>
      </c>
      <c r="G681" s="2">
        <v>1</v>
      </c>
      <c r="H681" s="2">
        <v>2000</v>
      </c>
      <c r="I681" s="2">
        <v>0.15</v>
      </c>
      <c r="J681" s="3">
        <f t="shared" si="11"/>
        <v>1700</v>
      </c>
      <c r="K681" s="2" t="str">
        <f>TEXT(Table4[OrderDate], "mmmm")</f>
        <v>December</v>
      </c>
      <c r="L681" s="2">
        <f>IF(C681 = "", 0, IF(COUNTIF($C$2:C681, C681) = 1, 1, 0))</f>
        <v>0</v>
      </c>
    </row>
    <row r="682" spans="1:12" x14ac:dyDescent="0.25">
      <c r="A682" s="2">
        <v>1912</v>
      </c>
      <c r="B682" s="21" t="s">
        <v>102</v>
      </c>
      <c r="C682" s="2" t="s">
        <v>359</v>
      </c>
      <c r="D682" s="2" t="s">
        <v>375</v>
      </c>
      <c r="E682" s="2" t="s">
        <v>386</v>
      </c>
      <c r="F682" s="2" t="s">
        <v>391</v>
      </c>
      <c r="G682" s="2">
        <v>5</v>
      </c>
      <c r="H682" s="2">
        <v>7000</v>
      </c>
      <c r="I682" s="2">
        <v>0.1</v>
      </c>
      <c r="J682" s="3">
        <f t="shared" si="11"/>
        <v>31500</v>
      </c>
      <c r="K682" s="2" t="str">
        <f>TEXT(Table4[OrderDate], "mmmm")</f>
        <v>October</v>
      </c>
      <c r="L682" s="2">
        <f>IF(C682 = "", 0, IF(COUNTIF($C$2:C682, C682) = 1, 1, 0))</f>
        <v>0</v>
      </c>
    </row>
    <row r="683" spans="1:12" x14ac:dyDescent="0.25">
      <c r="A683" s="2">
        <v>1682</v>
      </c>
      <c r="B683" s="21" t="s">
        <v>69</v>
      </c>
      <c r="C683" s="2" t="s">
        <v>365</v>
      </c>
      <c r="D683" s="2" t="s">
        <v>379</v>
      </c>
      <c r="E683" s="2" t="s">
        <v>381</v>
      </c>
      <c r="F683" s="2" t="s">
        <v>389</v>
      </c>
      <c r="G683" s="2">
        <v>3</v>
      </c>
      <c r="H683" s="2">
        <v>20000</v>
      </c>
      <c r="I683" s="2">
        <v>0.1</v>
      </c>
      <c r="J683" s="3">
        <f t="shared" si="11"/>
        <v>54000</v>
      </c>
      <c r="K683" s="2" t="str">
        <f>TEXT(Table4[OrderDate], "mmmm")</f>
        <v>November</v>
      </c>
      <c r="L683" s="2">
        <f>IF(C683 = "", 0, IF(COUNTIF($C$2:C683, C683) = 1, 1, 0))</f>
        <v>0</v>
      </c>
    </row>
    <row r="684" spans="1:12" x14ac:dyDescent="0.25">
      <c r="A684" s="2">
        <v>1683</v>
      </c>
      <c r="B684" s="21" t="s">
        <v>95</v>
      </c>
      <c r="C684" s="2" t="s">
        <v>359</v>
      </c>
      <c r="D684" s="2" t="s">
        <v>380</v>
      </c>
      <c r="E684" s="2" t="s">
        <v>388</v>
      </c>
      <c r="F684" s="2" t="s">
        <v>389</v>
      </c>
      <c r="G684" s="2">
        <v>4</v>
      </c>
      <c r="H684" s="2">
        <v>12000</v>
      </c>
      <c r="I684" s="2">
        <v>0.15</v>
      </c>
      <c r="J684" s="3">
        <f t="shared" si="11"/>
        <v>40800</v>
      </c>
      <c r="K684" s="2" t="str">
        <f>TEXT(Table4[OrderDate], "mmmm")</f>
        <v>December</v>
      </c>
      <c r="L684" s="2">
        <f>IF(C684 = "", 0, IF(COUNTIF($C$2:C684, C684) = 1, 1, 0))</f>
        <v>0</v>
      </c>
    </row>
    <row r="685" spans="1:12" x14ac:dyDescent="0.25">
      <c r="A685" s="2">
        <v>1131</v>
      </c>
      <c r="B685" s="21" t="s">
        <v>116</v>
      </c>
      <c r="C685" s="2" t="s">
        <v>365</v>
      </c>
      <c r="D685" s="2" t="s">
        <v>374</v>
      </c>
      <c r="E685" s="2" t="s">
        <v>386</v>
      </c>
      <c r="F685" s="2" t="s">
        <v>391</v>
      </c>
      <c r="G685" s="2">
        <v>5</v>
      </c>
      <c r="H685" s="2">
        <v>7000</v>
      </c>
      <c r="I685" s="2">
        <v>0.15</v>
      </c>
      <c r="J685" s="3">
        <f t="shared" si="11"/>
        <v>29750</v>
      </c>
      <c r="K685" s="2" t="str">
        <f>TEXT(Table4[OrderDate], "mmmm")</f>
        <v>August</v>
      </c>
      <c r="L685" s="2">
        <f>IF(C685 = "", 0, IF(COUNTIF($C$2:C685, C685) = 1, 1, 0))</f>
        <v>0</v>
      </c>
    </row>
    <row r="686" spans="1:12" x14ac:dyDescent="0.25">
      <c r="A686" s="2">
        <v>1685</v>
      </c>
      <c r="B686" s="21" t="s">
        <v>314</v>
      </c>
      <c r="C686" s="2" t="s">
        <v>361</v>
      </c>
      <c r="D686" s="2" t="s">
        <v>377</v>
      </c>
      <c r="E686" s="2" t="s">
        <v>384</v>
      </c>
      <c r="F686" s="2" t="s">
        <v>389</v>
      </c>
      <c r="G686" s="2">
        <v>3</v>
      </c>
      <c r="H686" s="2">
        <v>30000</v>
      </c>
      <c r="I686" s="2">
        <v>0.1</v>
      </c>
      <c r="J686" s="3">
        <f t="shared" si="11"/>
        <v>81000</v>
      </c>
      <c r="K686" s="2" t="str">
        <f>TEXT(Table4[OrderDate], "mmmm")</f>
        <v>January</v>
      </c>
      <c r="L686" s="2">
        <f>IF(C686 = "", 0, IF(COUNTIF($C$2:C686, C686) = 1, 1, 0))</f>
        <v>0</v>
      </c>
    </row>
    <row r="687" spans="1:12" x14ac:dyDescent="0.25">
      <c r="A687" s="2">
        <v>1686</v>
      </c>
      <c r="B687" s="21" t="s">
        <v>324</v>
      </c>
      <c r="C687" s="2" t="s">
        <v>365</v>
      </c>
      <c r="D687" s="2" t="s">
        <v>379</v>
      </c>
      <c r="E687" s="2" t="s">
        <v>382</v>
      </c>
      <c r="F687" s="2" t="s">
        <v>389</v>
      </c>
      <c r="G687" s="2">
        <v>1</v>
      </c>
      <c r="H687" s="2">
        <v>50000</v>
      </c>
      <c r="I687" s="2">
        <v>0.15</v>
      </c>
      <c r="J687" s="3">
        <f t="shared" si="11"/>
        <v>42500</v>
      </c>
      <c r="K687" s="2" t="str">
        <f>TEXT(Table4[OrderDate], "mmmm")</f>
        <v>October</v>
      </c>
      <c r="L687" s="2">
        <f>IF(C687 = "", 0, IF(COUNTIF($C$2:C687, C687) = 1, 1, 0))</f>
        <v>0</v>
      </c>
    </row>
    <row r="688" spans="1:12" x14ac:dyDescent="0.25">
      <c r="A688" s="2">
        <v>1687</v>
      </c>
      <c r="B688" s="21" t="s">
        <v>62</v>
      </c>
      <c r="C688" s="2" t="s">
        <v>361</v>
      </c>
      <c r="D688" s="2" t="s">
        <v>373</v>
      </c>
      <c r="E688" s="2" t="s">
        <v>387</v>
      </c>
      <c r="F688" s="2" t="s">
        <v>391</v>
      </c>
      <c r="G688" s="2">
        <v>3</v>
      </c>
      <c r="H688" s="2">
        <v>3000</v>
      </c>
      <c r="I688" s="2">
        <v>0.05</v>
      </c>
      <c r="J688" s="3">
        <f t="shared" si="11"/>
        <v>8550</v>
      </c>
      <c r="K688" s="2" t="str">
        <f>TEXT(Table4[OrderDate], "mmmm")</f>
        <v>July</v>
      </c>
      <c r="L688" s="2">
        <f>IF(C688 = "", 0, IF(COUNTIF($C$2:C688, C688) = 1, 1, 0))</f>
        <v>0</v>
      </c>
    </row>
    <row r="689" spans="1:12" x14ac:dyDescent="0.25">
      <c r="A689" s="2">
        <v>1688</v>
      </c>
      <c r="B689" s="21" t="s">
        <v>325</v>
      </c>
      <c r="C689" s="2" t="s">
        <v>362</v>
      </c>
      <c r="D689" s="2" t="s">
        <v>373</v>
      </c>
      <c r="E689" s="2" t="s">
        <v>384</v>
      </c>
      <c r="F689" s="2" t="s">
        <v>389</v>
      </c>
      <c r="G689" s="2">
        <v>2</v>
      </c>
      <c r="H689" s="2">
        <v>30000</v>
      </c>
      <c r="I689" s="2">
        <v>0.1</v>
      </c>
      <c r="J689" s="3">
        <f t="shared" si="11"/>
        <v>54000</v>
      </c>
      <c r="K689" s="2" t="str">
        <f>TEXT(Table4[OrderDate], "mmmm")</f>
        <v>April</v>
      </c>
      <c r="L689" s="2">
        <f>IF(C689 = "", 0, IF(COUNTIF($C$2:C689, C689) = 1, 1, 0))</f>
        <v>0</v>
      </c>
    </row>
    <row r="690" spans="1:12" x14ac:dyDescent="0.25">
      <c r="A690" s="2">
        <v>1552</v>
      </c>
      <c r="B690" s="21" t="s">
        <v>93</v>
      </c>
      <c r="C690" s="2" t="s">
        <v>362</v>
      </c>
      <c r="D690" s="2" t="s">
        <v>374</v>
      </c>
      <c r="E690" s="2" t="s">
        <v>386</v>
      </c>
      <c r="F690" s="2" t="s">
        <v>391</v>
      </c>
      <c r="G690" s="2">
        <v>5</v>
      </c>
      <c r="H690" s="2">
        <v>7000</v>
      </c>
      <c r="I690" s="2">
        <v>0.15</v>
      </c>
      <c r="J690" s="3">
        <f t="shared" si="11"/>
        <v>29750</v>
      </c>
      <c r="K690" s="2" t="str">
        <f>TEXT(Table4[OrderDate], "mmmm")</f>
        <v>April</v>
      </c>
      <c r="L690" s="2">
        <f>IF(C690 = "", 0, IF(COUNTIF($C$2:C690, C690) = 1, 1, 0))</f>
        <v>0</v>
      </c>
    </row>
    <row r="691" spans="1:12" x14ac:dyDescent="0.25">
      <c r="A691" s="2">
        <v>1690</v>
      </c>
      <c r="B691" s="21" t="s">
        <v>139</v>
      </c>
      <c r="C691" s="2" t="s">
        <v>367</v>
      </c>
      <c r="D691" s="2" t="s">
        <v>376</v>
      </c>
      <c r="E691" s="2" t="s">
        <v>381</v>
      </c>
      <c r="F691" s="2" t="s">
        <v>389</v>
      </c>
      <c r="G691" s="2">
        <v>3</v>
      </c>
      <c r="H691" s="2">
        <v>20000</v>
      </c>
      <c r="I691" s="2">
        <v>0</v>
      </c>
      <c r="J691" s="3">
        <f t="shared" si="11"/>
        <v>60000</v>
      </c>
      <c r="K691" s="2" t="str">
        <f>TEXT(Table4[OrderDate], "mmmm")</f>
        <v>April</v>
      </c>
      <c r="L691" s="2">
        <f>IF(C691 = "", 0, IF(COUNTIF($C$2:C691, C691) = 1, 1, 0))</f>
        <v>0</v>
      </c>
    </row>
    <row r="692" spans="1:12" x14ac:dyDescent="0.25">
      <c r="A692" s="2">
        <v>1691</v>
      </c>
      <c r="B692" s="21" t="s">
        <v>104</v>
      </c>
      <c r="C692" s="2" t="s">
        <v>370</v>
      </c>
      <c r="D692" s="2" t="s">
        <v>377</v>
      </c>
      <c r="E692" s="2" t="s">
        <v>385</v>
      </c>
      <c r="F692" s="2" t="s">
        <v>390</v>
      </c>
      <c r="G692" s="2">
        <v>2</v>
      </c>
      <c r="H692" s="2">
        <v>2000</v>
      </c>
      <c r="I692" s="2">
        <v>0.05</v>
      </c>
      <c r="J692" s="3">
        <f t="shared" si="11"/>
        <v>3800</v>
      </c>
      <c r="K692" s="2" t="str">
        <f>TEXT(Table4[OrderDate], "mmmm")</f>
        <v>February</v>
      </c>
      <c r="L692" s="2">
        <f>IF(C692 = "", 0, IF(COUNTIF($C$2:C692, C692) = 1, 1, 0))</f>
        <v>0</v>
      </c>
    </row>
    <row r="693" spans="1:12" x14ac:dyDescent="0.25">
      <c r="A693" s="2">
        <v>1692</v>
      </c>
      <c r="B693" s="21" t="s">
        <v>98</v>
      </c>
      <c r="C693" s="2" t="s">
        <v>366</v>
      </c>
      <c r="D693" s="2" t="s">
        <v>379</v>
      </c>
      <c r="E693" s="2" t="s">
        <v>387</v>
      </c>
      <c r="F693" s="2" t="s">
        <v>391</v>
      </c>
      <c r="G693" s="2">
        <v>3</v>
      </c>
      <c r="H693" s="2">
        <v>3000</v>
      </c>
      <c r="I693" s="2">
        <v>0.15</v>
      </c>
      <c r="J693" s="3">
        <f t="shared" si="11"/>
        <v>7650</v>
      </c>
      <c r="K693" s="2" t="str">
        <f>TEXT(Table4[OrderDate], "mmmm")</f>
        <v>August</v>
      </c>
      <c r="L693" s="2">
        <f>IF(C693 = "", 0, IF(COUNTIF($C$2:C693, C693) = 1, 1, 0))</f>
        <v>0</v>
      </c>
    </row>
    <row r="694" spans="1:12" x14ac:dyDescent="0.25">
      <c r="A694" s="2">
        <v>1494</v>
      </c>
      <c r="B694" s="21" t="s">
        <v>23</v>
      </c>
      <c r="C694" s="2" t="s">
        <v>365</v>
      </c>
      <c r="D694" s="2" t="s">
        <v>380</v>
      </c>
      <c r="E694" s="2" t="s">
        <v>387</v>
      </c>
      <c r="F694" s="2" t="s">
        <v>391</v>
      </c>
      <c r="G694" s="2">
        <v>5</v>
      </c>
      <c r="H694" s="2">
        <v>3000</v>
      </c>
      <c r="I694" s="2">
        <v>0</v>
      </c>
      <c r="J694" s="3">
        <f t="shared" si="11"/>
        <v>15000</v>
      </c>
      <c r="K694" s="2" t="str">
        <f>TEXT(Table4[OrderDate], "mmmm")</f>
        <v>July</v>
      </c>
      <c r="L694" s="2">
        <f>IF(C694 = "", 0, IF(COUNTIF($C$2:C694, C694) = 1, 1, 0))</f>
        <v>0</v>
      </c>
    </row>
    <row r="695" spans="1:12" x14ac:dyDescent="0.25">
      <c r="A695" s="2">
        <v>1694</v>
      </c>
      <c r="B695" s="21" t="s">
        <v>64</v>
      </c>
      <c r="C695" s="2" t="s">
        <v>358</v>
      </c>
      <c r="D695" s="2" t="s">
        <v>379</v>
      </c>
      <c r="E695" s="2" t="s">
        <v>382</v>
      </c>
      <c r="F695" s="2" t="s">
        <v>389</v>
      </c>
      <c r="G695" s="2">
        <v>3</v>
      </c>
      <c r="H695" s="2">
        <v>50000</v>
      </c>
      <c r="I695" s="2">
        <v>0.05</v>
      </c>
      <c r="J695" s="3">
        <f t="shared" si="11"/>
        <v>142500</v>
      </c>
      <c r="K695" s="2" t="str">
        <f>TEXT(Table4[OrderDate], "mmmm")</f>
        <v>April</v>
      </c>
      <c r="L695" s="2">
        <f>IF(C695 = "", 0, IF(COUNTIF($C$2:C695, C695) = 1, 1, 0))</f>
        <v>0</v>
      </c>
    </row>
    <row r="696" spans="1:12" x14ac:dyDescent="0.25">
      <c r="A696" s="2">
        <v>1695</v>
      </c>
      <c r="B696" s="21" t="s">
        <v>209</v>
      </c>
      <c r="C696" s="2" t="s">
        <v>363</v>
      </c>
      <c r="D696" s="2" t="s">
        <v>380</v>
      </c>
      <c r="E696" s="2" t="s">
        <v>385</v>
      </c>
      <c r="F696" s="2" t="s">
        <v>390</v>
      </c>
      <c r="G696" s="2">
        <v>2</v>
      </c>
      <c r="H696" s="2">
        <v>2000</v>
      </c>
      <c r="I696" s="2">
        <v>0.1</v>
      </c>
      <c r="J696" s="3">
        <f t="shared" si="11"/>
        <v>3600</v>
      </c>
      <c r="K696" s="2" t="str">
        <f>TEXT(Table4[OrderDate], "mmmm")</f>
        <v>September</v>
      </c>
      <c r="L696" s="2">
        <f>IF(C696 = "", 0, IF(COUNTIF($C$2:C696, C696) = 1, 1, 0))</f>
        <v>0</v>
      </c>
    </row>
    <row r="697" spans="1:12" x14ac:dyDescent="0.25">
      <c r="A697" s="2">
        <v>1696</v>
      </c>
      <c r="B697" s="21" t="s">
        <v>123</v>
      </c>
      <c r="C697" s="2" t="s">
        <v>362</v>
      </c>
      <c r="D697" s="2" t="s">
        <v>373</v>
      </c>
      <c r="E697" s="2" t="s">
        <v>385</v>
      </c>
      <c r="F697" s="2" t="s">
        <v>390</v>
      </c>
      <c r="G697" s="2">
        <v>3</v>
      </c>
      <c r="H697" s="2">
        <v>2000</v>
      </c>
      <c r="I697" s="2">
        <v>0.15</v>
      </c>
      <c r="J697" s="3">
        <f t="shared" si="11"/>
        <v>5100</v>
      </c>
      <c r="K697" s="2" t="str">
        <f>TEXT(Table4[OrderDate], "mmmm")</f>
        <v>October</v>
      </c>
      <c r="L697" s="2">
        <f>IF(C697 = "", 0, IF(COUNTIF($C$2:C697, C697) = 1, 1, 0))</f>
        <v>0</v>
      </c>
    </row>
    <row r="698" spans="1:12" x14ac:dyDescent="0.25">
      <c r="A698" s="2">
        <v>1697</v>
      </c>
      <c r="B698" s="21" t="s">
        <v>324</v>
      </c>
      <c r="C698" s="2" t="s">
        <v>371</v>
      </c>
      <c r="D698" s="2" t="s">
        <v>379</v>
      </c>
      <c r="E698" s="2" t="s">
        <v>381</v>
      </c>
      <c r="F698" s="2" t="s">
        <v>389</v>
      </c>
      <c r="G698" s="2">
        <v>3</v>
      </c>
      <c r="H698" s="2">
        <v>20000</v>
      </c>
      <c r="I698" s="2">
        <v>0.05</v>
      </c>
      <c r="J698" s="3">
        <f t="shared" si="11"/>
        <v>57000</v>
      </c>
      <c r="K698" s="2" t="str">
        <f>TEXT(Table4[OrderDate], "mmmm")</f>
        <v>October</v>
      </c>
      <c r="L698" s="2">
        <f>IF(C698 = "", 0, IF(COUNTIF($C$2:C698, C698) = 1, 1, 0))</f>
        <v>0</v>
      </c>
    </row>
    <row r="699" spans="1:12" x14ac:dyDescent="0.25">
      <c r="A699" s="2">
        <v>1698</v>
      </c>
      <c r="B699" s="21" t="s">
        <v>31</v>
      </c>
      <c r="C699" s="2" t="s">
        <v>359</v>
      </c>
      <c r="D699" s="2" t="s">
        <v>378</v>
      </c>
      <c r="E699" s="2" t="s">
        <v>381</v>
      </c>
      <c r="F699" s="2" t="s">
        <v>389</v>
      </c>
      <c r="G699" s="2">
        <v>1</v>
      </c>
      <c r="H699" s="2">
        <v>20000</v>
      </c>
      <c r="I699" s="2">
        <v>0</v>
      </c>
      <c r="J699" s="3">
        <f t="shared" si="11"/>
        <v>20000</v>
      </c>
      <c r="K699" s="2" t="str">
        <f>TEXT(Table4[OrderDate], "mmmm")</f>
        <v>September</v>
      </c>
      <c r="L699" s="2">
        <f>IF(C699 = "", 0, IF(COUNTIF($C$2:C699, C699) = 1, 1, 0))</f>
        <v>0</v>
      </c>
    </row>
    <row r="700" spans="1:12" x14ac:dyDescent="0.25">
      <c r="A700" s="2">
        <v>1699</v>
      </c>
      <c r="B700" s="21" t="s">
        <v>200</v>
      </c>
      <c r="C700" s="2" t="s">
        <v>367</v>
      </c>
      <c r="D700" s="2" t="s">
        <v>373</v>
      </c>
      <c r="E700" s="2" t="s">
        <v>387</v>
      </c>
      <c r="F700" s="2" t="s">
        <v>391</v>
      </c>
      <c r="G700" s="2">
        <v>1</v>
      </c>
      <c r="H700" s="2">
        <v>3000</v>
      </c>
      <c r="I700" s="2">
        <v>0.1</v>
      </c>
      <c r="J700" s="3">
        <f t="shared" si="11"/>
        <v>2700</v>
      </c>
      <c r="K700" s="2" t="str">
        <f>TEXT(Table4[OrderDate], "mmmm")</f>
        <v>October</v>
      </c>
      <c r="L700" s="2">
        <f>IF(C700 = "", 0, IF(COUNTIF($C$2:C700, C700) = 1, 1, 0))</f>
        <v>0</v>
      </c>
    </row>
    <row r="701" spans="1:12" x14ac:dyDescent="0.25">
      <c r="A701" s="2">
        <v>1700</v>
      </c>
      <c r="B701" s="21" t="s">
        <v>13</v>
      </c>
      <c r="C701" s="2" t="s">
        <v>370</v>
      </c>
      <c r="D701" s="2" t="s">
        <v>373</v>
      </c>
      <c r="E701" s="2" t="s">
        <v>385</v>
      </c>
      <c r="F701" s="2" t="s">
        <v>390</v>
      </c>
      <c r="G701" s="2">
        <v>4</v>
      </c>
      <c r="H701" s="2">
        <v>2000</v>
      </c>
      <c r="I701" s="2">
        <v>0.05</v>
      </c>
      <c r="J701" s="3">
        <f t="shared" si="11"/>
        <v>7600</v>
      </c>
      <c r="K701" s="2" t="str">
        <f>TEXT(Table4[OrderDate], "mmmm")</f>
        <v>October</v>
      </c>
      <c r="L701" s="2">
        <f>IF(C701 = "", 0, IF(COUNTIF($C$2:C701, C701) = 1, 1, 0))</f>
        <v>0</v>
      </c>
    </row>
    <row r="702" spans="1:12" x14ac:dyDescent="0.25">
      <c r="A702" s="2">
        <v>1597</v>
      </c>
      <c r="B702" s="21" t="s">
        <v>29</v>
      </c>
      <c r="C702" s="2" t="s">
        <v>368</v>
      </c>
      <c r="D702" s="2" t="s">
        <v>379</v>
      </c>
      <c r="E702" s="2" t="s">
        <v>387</v>
      </c>
      <c r="F702" s="2" t="s">
        <v>391</v>
      </c>
      <c r="G702" s="2">
        <v>5</v>
      </c>
      <c r="H702" s="2">
        <v>3000</v>
      </c>
      <c r="I702" s="2">
        <v>0</v>
      </c>
      <c r="J702" s="3">
        <f t="shared" si="11"/>
        <v>15000</v>
      </c>
      <c r="K702" s="2" t="str">
        <f>TEXT(Table4[OrderDate], "mmmm")</f>
        <v>December</v>
      </c>
      <c r="L702" s="2">
        <f>IF(C702 = "", 0, IF(COUNTIF($C$2:C702, C702) = 1, 1, 0))</f>
        <v>0</v>
      </c>
    </row>
    <row r="703" spans="1:12" x14ac:dyDescent="0.25">
      <c r="A703" s="2">
        <v>1185</v>
      </c>
      <c r="B703" s="21" t="s">
        <v>12</v>
      </c>
      <c r="C703" s="2" t="s">
        <v>366</v>
      </c>
      <c r="D703" s="2" t="s">
        <v>373</v>
      </c>
      <c r="E703" s="2" t="s">
        <v>387</v>
      </c>
      <c r="F703" s="2" t="s">
        <v>391</v>
      </c>
      <c r="G703" s="2">
        <v>5</v>
      </c>
      <c r="H703" s="2">
        <v>3000</v>
      </c>
      <c r="I703" s="2">
        <v>0.05</v>
      </c>
      <c r="J703" s="3">
        <f t="shared" si="11"/>
        <v>14250</v>
      </c>
      <c r="K703" s="2" t="str">
        <f>TEXT(Table4[OrderDate], "mmmm")</f>
        <v>April</v>
      </c>
      <c r="L703" s="2">
        <f>IF(C703 = "", 0, IF(COUNTIF($C$2:C703, C703) = 1, 1, 0))</f>
        <v>0</v>
      </c>
    </row>
    <row r="704" spans="1:12" x14ac:dyDescent="0.25">
      <c r="A704" s="2">
        <v>1703</v>
      </c>
      <c r="B704" s="21" t="s">
        <v>215</v>
      </c>
      <c r="C704" s="2" t="s">
        <v>364</v>
      </c>
      <c r="D704" s="2" t="s">
        <v>374</v>
      </c>
      <c r="E704" s="2" t="s">
        <v>384</v>
      </c>
      <c r="F704" s="2" t="s">
        <v>389</v>
      </c>
      <c r="G704" s="2">
        <v>2</v>
      </c>
      <c r="H704" s="2">
        <v>30000</v>
      </c>
      <c r="I704" s="2">
        <v>0.05</v>
      </c>
      <c r="J704" s="3">
        <f t="shared" si="11"/>
        <v>57000</v>
      </c>
      <c r="K704" s="2" t="str">
        <f>TEXT(Table4[OrderDate], "mmmm")</f>
        <v>September</v>
      </c>
      <c r="L704" s="2">
        <f>IF(C704 = "", 0, IF(COUNTIF($C$2:C704, C704) = 1, 1, 0))</f>
        <v>0</v>
      </c>
    </row>
    <row r="705" spans="1:12" x14ac:dyDescent="0.25">
      <c r="A705" s="2">
        <v>1704</v>
      </c>
      <c r="B705" s="21" t="s">
        <v>157</v>
      </c>
      <c r="C705" s="2" t="s">
        <v>360</v>
      </c>
      <c r="D705" s="2" t="s">
        <v>376</v>
      </c>
      <c r="E705" s="2" t="s">
        <v>387</v>
      </c>
      <c r="F705" s="2" t="s">
        <v>391</v>
      </c>
      <c r="G705" s="2">
        <v>4</v>
      </c>
      <c r="H705" s="2">
        <v>3000</v>
      </c>
      <c r="I705" s="2">
        <v>0.05</v>
      </c>
      <c r="J705" s="3">
        <f t="shared" si="11"/>
        <v>11400</v>
      </c>
      <c r="K705" s="2" t="str">
        <f>TEXT(Table4[OrderDate], "mmmm")</f>
        <v>February</v>
      </c>
      <c r="L705" s="2">
        <f>IF(C705 = "", 0, IF(COUNTIF($C$2:C705, C705) = 1, 1, 0))</f>
        <v>0</v>
      </c>
    </row>
    <row r="706" spans="1:12" x14ac:dyDescent="0.25">
      <c r="A706" s="2">
        <v>1705</v>
      </c>
      <c r="B706" s="21" t="s">
        <v>122</v>
      </c>
      <c r="C706" s="2" t="s">
        <v>364</v>
      </c>
      <c r="D706" s="2" t="s">
        <v>378</v>
      </c>
      <c r="E706" s="2" t="s">
        <v>387</v>
      </c>
      <c r="F706" s="2" t="s">
        <v>391</v>
      </c>
      <c r="G706" s="2">
        <v>1</v>
      </c>
      <c r="H706" s="2">
        <v>3000</v>
      </c>
      <c r="I706" s="2">
        <v>0.05</v>
      </c>
      <c r="J706" s="3">
        <f t="shared" ref="J706:J769" si="12">H706*(1-I706)*G706</f>
        <v>2850</v>
      </c>
      <c r="K706" s="2" t="str">
        <f>TEXT(Table4[OrderDate], "mmmm")</f>
        <v>September</v>
      </c>
      <c r="L706" s="2">
        <f>IF(C706 = "", 0, IF(COUNTIF($C$2:C706, C706) = 1, 1, 0))</f>
        <v>0</v>
      </c>
    </row>
    <row r="707" spans="1:12" x14ac:dyDescent="0.25">
      <c r="A707" s="2">
        <v>1706</v>
      </c>
      <c r="B707" s="21" t="s">
        <v>185</v>
      </c>
      <c r="C707" s="2" t="s">
        <v>366</v>
      </c>
      <c r="D707" s="2" t="s">
        <v>377</v>
      </c>
      <c r="E707" s="2" t="s">
        <v>388</v>
      </c>
      <c r="F707" s="2" t="s">
        <v>389</v>
      </c>
      <c r="G707" s="2">
        <v>4</v>
      </c>
      <c r="H707" s="2">
        <v>12000</v>
      </c>
      <c r="I707" s="2">
        <v>0</v>
      </c>
      <c r="J707" s="3">
        <f t="shared" si="12"/>
        <v>48000</v>
      </c>
      <c r="K707" s="2" t="str">
        <f>TEXT(Table4[OrderDate], "mmmm")</f>
        <v>January</v>
      </c>
      <c r="L707" s="2">
        <f>IF(C707 = "", 0, IF(COUNTIF($C$2:C707, C707) = 1, 1, 0))</f>
        <v>0</v>
      </c>
    </row>
    <row r="708" spans="1:12" x14ac:dyDescent="0.25">
      <c r="A708" s="2">
        <v>1707</v>
      </c>
      <c r="B708" s="21" t="s">
        <v>298</v>
      </c>
      <c r="C708" s="2" t="s">
        <v>368</v>
      </c>
      <c r="D708" s="2" t="s">
        <v>376</v>
      </c>
      <c r="E708" s="2" t="s">
        <v>386</v>
      </c>
      <c r="F708" s="2" t="s">
        <v>391</v>
      </c>
      <c r="G708" s="2">
        <v>3</v>
      </c>
      <c r="H708" s="2">
        <v>7000</v>
      </c>
      <c r="I708" s="2">
        <v>0.05</v>
      </c>
      <c r="J708" s="3">
        <f t="shared" si="12"/>
        <v>19950</v>
      </c>
      <c r="K708" s="2" t="str">
        <f>TEXT(Table4[OrderDate], "mmmm")</f>
        <v>July</v>
      </c>
      <c r="L708" s="2">
        <f>IF(C708 = "", 0, IF(COUNTIF($C$2:C708, C708) = 1, 1, 0))</f>
        <v>0</v>
      </c>
    </row>
    <row r="709" spans="1:12" x14ac:dyDescent="0.25">
      <c r="A709" s="2">
        <v>1405</v>
      </c>
      <c r="B709" s="21" t="s">
        <v>22</v>
      </c>
      <c r="C709" s="2" t="s">
        <v>368</v>
      </c>
      <c r="D709" s="2" t="s">
        <v>373</v>
      </c>
      <c r="E709" s="2" t="s">
        <v>387</v>
      </c>
      <c r="F709" s="2" t="s">
        <v>391</v>
      </c>
      <c r="G709" s="2">
        <v>5</v>
      </c>
      <c r="H709" s="2">
        <v>3000</v>
      </c>
      <c r="I709" s="2">
        <v>0.05</v>
      </c>
      <c r="J709" s="3">
        <f t="shared" si="12"/>
        <v>14250</v>
      </c>
      <c r="K709" s="2" t="str">
        <f>TEXT(Table4[OrderDate], "mmmm")</f>
        <v>December</v>
      </c>
      <c r="L709" s="2">
        <f>IF(C709 = "", 0, IF(COUNTIF($C$2:C709, C709) = 1, 1, 0))</f>
        <v>0</v>
      </c>
    </row>
    <row r="710" spans="1:12" x14ac:dyDescent="0.25">
      <c r="A710" s="2">
        <v>1709</v>
      </c>
      <c r="B710" s="21" t="s">
        <v>313</v>
      </c>
      <c r="C710" s="2" t="s">
        <v>359</v>
      </c>
      <c r="D710" s="2" t="s">
        <v>373</v>
      </c>
      <c r="E710" s="2" t="s">
        <v>385</v>
      </c>
      <c r="F710" s="2" t="s">
        <v>390</v>
      </c>
      <c r="G710" s="2">
        <v>3</v>
      </c>
      <c r="H710" s="2">
        <v>2000</v>
      </c>
      <c r="I710" s="2">
        <v>0.15</v>
      </c>
      <c r="J710" s="3">
        <f t="shared" si="12"/>
        <v>5100</v>
      </c>
      <c r="K710" s="2" t="str">
        <f>TEXT(Table4[OrderDate], "mmmm")</f>
        <v>September</v>
      </c>
      <c r="L710" s="2">
        <f>IF(C710 = "", 0, IF(COUNTIF($C$2:C710, C710) = 1, 1, 0))</f>
        <v>0</v>
      </c>
    </row>
    <row r="711" spans="1:12" x14ac:dyDescent="0.25">
      <c r="A711" s="2">
        <v>1710</v>
      </c>
      <c r="B711" s="21" t="s">
        <v>82</v>
      </c>
      <c r="C711" s="2" t="s">
        <v>360</v>
      </c>
      <c r="D711" s="2" t="s">
        <v>375</v>
      </c>
      <c r="E711" s="2" t="s">
        <v>388</v>
      </c>
      <c r="F711" s="2" t="s">
        <v>389</v>
      </c>
      <c r="G711" s="2">
        <v>2</v>
      </c>
      <c r="H711" s="2">
        <v>12000</v>
      </c>
      <c r="I711" s="2">
        <v>0.05</v>
      </c>
      <c r="J711" s="3">
        <f t="shared" si="12"/>
        <v>22800</v>
      </c>
      <c r="K711" s="2" t="str">
        <f>TEXT(Table4[OrderDate], "mmmm")</f>
        <v>February</v>
      </c>
      <c r="L711" s="2">
        <f>IF(C711 = "", 0, IF(COUNTIF($C$2:C711, C711) = 1, 1, 0))</f>
        <v>0</v>
      </c>
    </row>
    <row r="712" spans="1:12" x14ac:dyDescent="0.25">
      <c r="A712" s="2">
        <v>1711</v>
      </c>
      <c r="B712" s="21" t="s">
        <v>26</v>
      </c>
      <c r="C712" s="2" t="s">
        <v>362</v>
      </c>
      <c r="D712" s="2" t="s">
        <v>375</v>
      </c>
      <c r="E712" s="2" t="s">
        <v>384</v>
      </c>
      <c r="F712" s="2" t="s">
        <v>389</v>
      </c>
      <c r="G712" s="2">
        <v>2</v>
      </c>
      <c r="H712" s="2">
        <v>30000</v>
      </c>
      <c r="I712" s="2">
        <v>0.05</v>
      </c>
      <c r="J712" s="3">
        <f t="shared" si="12"/>
        <v>57000</v>
      </c>
      <c r="K712" s="2" t="str">
        <f>TEXT(Table4[OrderDate], "mmmm")</f>
        <v>July</v>
      </c>
      <c r="L712" s="2">
        <f>IF(C712 = "", 0, IF(COUNTIF($C$2:C712, C712) = 1, 1, 0))</f>
        <v>0</v>
      </c>
    </row>
    <row r="713" spans="1:12" x14ac:dyDescent="0.25">
      <c r="A713" s="2">
        <v>1712</v>
      </c>
      <c r="B713" s="21" t="s">
        <v>313</v>
      </c>
      <c r="C713" s="2" t="s">
        <v>367</v>
      </c>
      <c r="D713" s="2" t="s">
        <v>380</v>
      </c>
      <c r="E713" s="2" t="s">
        <v>383</v>
      </c>
      <c r="F713" s="2" t="s">
        <v>390</v>
      </c>
      <c r="G713" s="2">
        <v>3</v>
      </c>
      <c r="H713" s="2">
        <v>1500</v>
      </c>
      <c r="I713" s="2">
        <v>0</v>
      </c>
      <c r="J713" s="3">
        <f t="shared" si="12"/>
        <v>4500</v>
      </c>
      <c r="K713" s="2" t="str">
        <f>TEXT(Table4[OrderDate], "mmmm")</f>
        <v>September</v>
      </c>
      <c r="L713" s="2">
        <f>IF(C713 = "", 0, IF(COUNTIF($C$2:C713, C713) = 1, 1, 0))</f>
        <v>0</v>
      </c>
    </row>
    <row r="714" spans="1:12" x14ac:dyDescent="0.25">
      <c r="A714" s="2">
        <v>1428</v>
      </c>
      <c r="B714" s="21" t="s">
        <v>123</v>
      </c>
      <c r="C714" s="2" t="s">
        <v>369</v>
      </c>
      <c r="D714" s="2" t="s">
        <v>376</v>
      </c>
      <c r="E714" s="2" t="s">
        <v>387</v>
      </c>
      <c r="F714" s="2" t="s">
        <v>391</v>
      </c>
      <c r="G714" s="2">
        <v>5</v>
      </c>
      <c r="H714" s="2">
        <v>3000</v>
      </c>
      <c r="I714" s="2">
        <v>0.05</v>
      </c>
      <c r="J714" s="3">
        <f t="shared" si="12"/>
        <v>14250</v>
      </c>
      <c r="K714" s="2" t="str">
        <f>TEXT(Table4[OrderDate], "mmmm")</f>
        <v>October</v>
      </c>
      <c r="L714" s="2">
        <f>IF(C714 = "", 0, IF(COUNTIF($C$2:C714, C714) = 1, 1, 0))</f>
        <v>0</v>
      </c>
    </row>
    <row r="715" spans="1:12" x14ac:dyDescent="0.25">
      <c r="A715" s="2">
        <v>1714</v>
      </c>
      <c r="B715" s="21" t="s">
        <v>106</v>
      </c>
      <c r="C715" s="2" t="s">
        <v>369</v>
      </c>
      <c r="D715" s="2" t="s">
        <v>373</v>
      </c>
      <c r="E715" s="2" t="s">
        <v>387</v>
      </c>
      <c r="F715" s="2" t="s">
        <v>391</v>
      </c>
      <c r="G715" s="2">
        <v>1</v>
      </c>
      <c r="H715" s="2">
        <v>3000</v>
      </c>
      <c r="I715" s="2">
        <v>0.05</v>
      </c>
      <c r="J715" s="3">
        <f t="shared" si="12"/>
        <v>2850</v>
      </c>
      <c r="K715" s="2" t="str">
        <f>TEXT(Table4[OrderDate], "mmmm")</f>
        <v>October</v>
      </c>
      <c r="L715" s="2">
        <f>IF(C715 = "", 0, IF(COUNTIF($C$2:C715, C715) = 1, 1, 0))</f>
        <v>0</v>
      </c>
    </row>
    <row r="716" spans="1:12" x14ac:dyDescent="0.25">
      <c r="A716" s="2">
        <v>1530</v>
      </c>
      <c r="B716" s="21" t="s">
        <v>178</v>
      </c>
      <c r="C716" s="2" t="s">
        <v>367</v>
      </c>
      <c r="D716" s="2" t="s">
        <v>374</v>
      </c>
      <c r="E716" s="2" t="s">
        <v>387</v>
      </c>
      <c r="F716" s="2" t="s">
        <v>391</v>
      </c>
      <c r="G716" s="2">
        <v>5</v>
      </c>
      <c r="H716" s="2">
        <v>3000</v>
      </c>
      <c r="I716" s="2">
        <v>0.05</v>
      </c>
      <c r="J716" s="3">
        <f t="shared" si="12"/>
        <v>14250</v>
      </c>
      <c r="K716" s="2" t="str">
        <f>TEXT(Table4[OrderDate], "mmmm")</f>
        <v>January</v>
      </c>
      <c r="L716" s="2">
        <f>IF(C716 = "", 0, IF(COUNTIF($C$2:C716, C716) = 1, 1, 0))</f>
        <v>0</v>
      </c>
    </row>
    <row r="717" spans="1:12" x14ac:dyDescent="0.25">
      <c r="A717" s="2">
        <v>1702</v>
      </c>
      <c r="B717" s="21" t="s">
        <v>217</v>
      </c>
      <c r="C717" s="2" t="s">
        <v>361</v>
      </c>
      <c r="D717" s="2" t="s">
        <v>380</v>
      </c>
      <c r="E717" s="2" t="s">
        <v>387</v>
      </c>
      <c r="F717" s="2" t="s">
        <v>391</v>
      </c>
      <c r="G717" s="2">
        <v>5</v>
      </c>
      <c r="H717" s="2">
        <v>3000</v>
      </c>
      <c r="I717" s="2">
        <v>0.05</v>
      </c>
      <c r="J717" s="3">
        <f t="shared" si="12"/>
        <v>14250</v>
      </c>
      <c r="K717" s="2" t="str">
        <f>TEXT(Table4[OrderDate], "mmmm")</f>
        <v>September</v>
      </c>
      <c r="L717" s="2">
        <f>IF(C717 = "", 0, IF(COUNTIF($C$2:C717, C717) = 1, 1, 0))</f>
        <v>0</v>
      </c>
    </row>
    <row r="718" spans="1:12" x14ac:dyDescent="0.25">
      <c r="A718" s="2">
        <v>1717</v>
      </c>
      <c r="B718" s="21" t="s">
        <v>69</v>
      </c>
      <c r="C718" s="2" t="s">
        <v>367</v>
      </c>
      <c r="D718" s="2" t="s">
        <v>380</v>
      </c>
      <c r="E718" s="2" t="s">
        <v>381</v>
      </c>
      <c r="F718" s="2" t="s">
        <v>389</v>
      </c>
      <c r="G718" s="2">
        <v>2</v>
      </c>
      <c r="H718" s="2">
        <v>20000</v>
      </c>
      <c r="I718" s="2">
        <v>0.15</v>
      </c>
      <c r="J718" s="3">
        <f t="shared" si="12"/>
        <v>34000</v>
      </c>
      <c r="K718" s="2" t="str">
        <f>TEXT(Table4[OrderDate], "mmmm")</f>
        <v>November</v>
      </c>
      <c r="L718" s="2">
        <f>IF(C718 = "", 0, IF(COUNTIF($C$2:C718, C718) = 1, 1, 0))</f>
        <v>0</v>
      </c>
    </row>
    <row r="719" spans="1:12" x14ac:dyDescent="0.25">
      <c r="A719" s="2">
        <v>1718</v>
      </c>
      <c r="B719" s="21" t="s">
        <v>326</v>
      </c>
      <c r="C719" s="2" t="s">
        <v>361</v>
      </c>
      <c r="D719" s="2" t="s">
        <v>373</v>
      </c>
      <c r="E719" s="2" t="s">
        <v>384</v>
      </c>
      <c r="F719" s="2" t="s">
        <v>389</v>
      </c>
      <c r="G719" s="2">
        <v>2</v>
      </c>
      <c r="H719" s="2">
        <v>30000</v>
      </c>
      <c r="I719" s="2">
        <v>0.15</v>
      </c>
      <c r="J719" s="3">
        <f t="shared" si="12"/>
        <v>51000</v>
      </c>
      <c r="K719" s="2" t="str">
        <f>TEXT(Table4[OrderDate], "mmmm")</f>
        <v>November</v>
      </c>
      <c r="L719" s="2">
        <f>IF(C719 = "", 0, IF(COUNTIF($C$2:C719, C719) = 1, 1, 0))</f>
        <v>0</v>
      </c>
    </row>
    <row r="720" spans="1:12" x14ac:dyDescent="0.25">
      <c r="A720" s="2">
        <v>1719</v>
      </c>
      <c r="B720" s="21" t="s">
        <v>19</v>
      </c>
      <c r="C720" s="2" t="s">
        <v>365</v>
      </c>
      <c r="D720" s="2" t="s">
        <v>375</v>
      </c>
      <c r="E720" s="2" t="s">
        <v>386</v>
      </c>
      <c r="F720" s="2" t="s">
        <v>391</v>
      </c>
      <c r="G720" s="2">
        <v>2</v>
      </c>
      <c r="H720" s="2">
        <v>7000</v>
      </c>
      <c r="I720" s="2">
        <v>0.1</v>
      </c>
      <c r="J720" s="3">
        <f t="shared" si="12"/>
        <v>12600</v>
      </c>
      <c r="K720" s="2" t="str">
        <f>TEXT(Table4[OrderDate], "mmmm")</f>
        <v>August</v>
      </c>
      <c r="L720" s="2">
        <f>IF(C720 = "", 0, IF(COUNTIF($C$2:C720, C720) = 1, 1, 0))</f>
        <v>0</v>
      </c>
    </row>
    <row r="721" spans="1:12" x14ac:dyDescent="0.25">
      <c r="A721" s="2">
        <v>1720</v>
      </c>
      <c r="B721" s="21" t="s">
        <v>166</v>
      </c>
      <c r="C721" s="2" t="s">
        <v>359</v>
      </c>
      <c r="D721" s="2" t="s">
        <v>375</v>
      </c>
      <c r="E721" s="2" t="s">
        <v>383</v>
      </c>
      <c r="F721" s="2" t="s">
        <v>390</v>
      </c>
      <c r="G721" s="2">
        <v>4</v>
      </c>
      <c r="H721" s="2">
        <v>1500</v>
      </c>
      <c r="I721" s="2">
        <v>0.05</v>
      </c>
      <c r="J721" s="3">
        <f t="shared" si="12"/>
        <v>5700</v>
      </c>
      <c r="K721" s="2" t="str">
        <f>TEXT(Table4[OrderDate], "mmmm")</f>
        <v>February</v>
      </c>
      <c r="L721" s="2">
        <f>IF(C721 = "", 0, IF(COUNTIF($C$2:C721, C721) = 1, 1, 0))</f>
        <v>0</v>
      </c>
    </row>
    <row r="722" spans="1:12" x14ac:dyDescent="0.25">
      <c r="A722" s="2">
        <v>1721</v>
      </c>
      <c r="B722" s="21" t="s">
        <v>78</v>
      </c>
      <c r="C722" s="2" t="s">
        <v>367</v>
      </c>
      <c r="D722" s="2" t="s">
        <v>374</v>
      </c>
      <c r="E722" s="2" t="s">
        <v>383</v>
      </c>
      <c r="F722" s="2" t="s">
        <v>390</v>
      </c>
      <c r="G722" s="2">
        <v>2</v>
      </c>
      <c r="H722" s="2">
        <v>1500</v>
      </c>
      <c r="I722" s="2">
        <v>0</v>
      </c>
      <c r="J722" s="3">
        <f t="shared" si="12"/>
        <v>3000</v>
      </c>
      <c r="K722" s="2" t="str">
        <f>TEXT(Table4[OrderDate], "mmmm")</f>
        <v>March</v>
      </c>
      <c r="L722" s="2">
        <f>IF(C722 = "", 0, IF(COUNTIF($C$2:C722, C722) = 1, 1, 0))</f>
        <v>0</v>
      </c>
    </row>
    <row r="723" spans="1:12" x14ac:dyDescent="0.25">
      <c r="A723" s="2">
        <v>1722</v>
      </c>
      <c r="B723" s="21" t="s">
        <v>39</v>
      </c>
      <c r="C723" s="2" t="s">
        <v>361</v>
      </c>
      <c r="D723" s="2" t="s">
        <v>374</v>
      </c>
      <c r="E723" s="2" t="s">
        <v>381</v>
      </c>
      <c r="F723" s="2" t="s">
        <v>389</v>
      </c>
      <c r="G723" s="2">
        <v>1</v>
      </c>
      <c r="H723" s="2">
        <v>20000</v>
      </c>
      <c r="I723" s="2">
        <v>0.15</v>
      </c>
      <c r="J723" s="3">
        <f t="shared" si="12"/>
        <v>17000</v>
      </c>
      <c r="K723" s="2" t="str">
        <f>TEXT(Table4[OrderDate], "mmmm")</f>
        <v>December</v>
      </c>
      <c r="L723" s="2">
        <f>IF(C723 = "", 0, IF(COUNTIF($C$2:C723, C723) = 1, 1, 0))</f>
        <v>0</v>
      </c>
    </row>
    <row r="724" spans="1:12" x14ac:dyDescent="0.25">
      <c r="A724" s="2">
        <v>1713</v>
      </c>
      <c r="B724" s="21" t="s">
        <v>114</v>
      </c>
      <c r="C724" s="2" t="s">
        <v>358</v>
      </c>
      <c r="D724" s="2" t="s">
        <v>374</v>
      </c>
      <c r="E724" s="2" t="s">
        <v>387</v>
      </c>
      <c r="F724" s="2" t="s">
        <v>391</v>
      </c>
      <c r="G724" s="2">
        <v>5</v>
      </c>
      <c r="H724" s="2">
        <v>3000</v>
      </c>
      <c r="I724" s="2">
        <v>0.05</v>
      </c>
      <c r="J724" s="3">
        <f t="shared" si="12"/>
        <v>14250</v>
      </c>
      <c r="K724" s="2" t="str">
        <f>TEXT(Table4[OrderDate], "mmmm")</f>
        <v>November</v>
      </c>
      <c r="L724" s="2">
        <f>IF(C724 = "", 0, IF(COUNTIF($C$2:C724, C724) = 1, 1, 0))</f>
        <v>0</v>
      </c>
    </row>
    <row r="725" spans="1:12" x14ac:dyDescent="0.25">
      <c r="A725" s="2">
        <v>1724</v>
      </c>
      <c r="B725" s="21" t="s">
        <v>92</v>
      </c>
      <c r="C725" s="2" t="s">
        <v>362</v>
      </c>
      <c r="D725" s="2" t="s">
        <v>378</v>
      </c>
      <c r="E725" s="2" t="s">
        <v>387</v>
      </c>
      <c r="F725" s="2" t="s">
        <v>391</v>
      </c>
      <c r="G725" s="2">
        <v>4</v>
      </c>
      <c r="H725" s="2">
        <v>3000</v>
      </c>
      <c r="I725" s="2">
        <v>0.15</v>
      </c>
      <c r="J725" s="3">
        <f t="shared" si="12"/>
        <v>10200</v>
      </c>
      <c r="K725" s="2" t="str">
        <f>TEXT(Table4[OrderDate], "mmmm")</f>
        <v>June</v>
      </c>
      <c r="L725" s="2">
        <f>IF(C725 = "", 0, IF(COUNTIF($C$2:C725, C725) = 1, 1, 0))</f>
        <v>0</v>
      </c>
    </row>
    <row r="726" spans="1:12" x14ac:dyDescent="0.25">
      <c r="A726" s="2">
        <v>1725</v>
      </c>
      <c r="B726" s="21" t="s">
        <v>12</v>
      </c>
      <c r="C726" s="2" t="s">
        <v>365</v>
      </c>
      <c r="D726" s="2" t="s">
        <v>379</v>
      </c>
      <c r="E726" s="2" t="s">
        <v>384</v>
      </c>
      <c r="F726" s="2" t="s">
        <v>389</v>
      </c>
      <c r="G726" s="2">
        <v>3</v>
      </c>
      <c r="H726" s="2">
        <v>30000</v>
      </c>
      <c r="I726" s="2">
        <v>0.15</v>
      </c>
      <c r="J726" s="3">
        <f t="shared" si="12"/>
        <v>76500</v>
      </c>
      <c r="K726" s="2" t="str">
        <f>TEXT(Table4[OrderDate], "mmmm")</f>
        <v>April</v>
      </c>
      <c r="L726" s="2">
        <f>IF(C726 = "", 0, IF(COUNTIF($C$2:C726, C726) = 1, 1, 0))</f>
        <v>0</v>
      </c>
    </row>
    <row r="727" spans="1:12" x14ac:dyDescent="0.25">
      <c r="A727" s="2">
        <v>1726</v>
      </c>
      <c r="B727" s="21" t="s">
        <v>327</v>
      </c>
      <c r="C727" s="2" t="s">
        <v>359</v>
      </c>
      <c r="D727" s="2" t="s">
        <v>377</v>
      </c>
      <c r="E727" s="2" t="s">
        <v>383</v>
      </c>
      <c r="F727" s="2" t="s">
        <v>390</v>
      </c>
      <c r="G727" s="2">
        <v>3</v>
      </c>
      <c r="H727" s="2">
        <v>1500</v>
      </c>
      <c r="I727" s="2">
        <v>0.05</v>
      </c>
      <c r="J727" s="3">
        <f t="shared" si="12"/>
        <v>4275</v>
      </c>
      <c r="K727" s="2" t="str">
        <f>TEXT(Table4[OrderDate], "mmmm")</f>
        <v>January</v>
      </c>
      <c r="L727" s="2">
        <f>IF(C727 = "", 0, IF(COUNTIF($C$2:C727, C727) = 1, 1, 0))</f>
        <v>0</v>
      </c>
    </row>
    <row r="728" spans="1:12" x14ac:dyDescent="0.25">
      <c r="A728" s="2">
        <v>1727</v>
      </c>
      <c r="B728" s="21" t="s">
        <v>111</v>
      </c>
      <c r="C728" s="2" t="s">
        <v>366</v>
      </c>
      <c r="D728" s="2" t="s">
        <v>378</v>
      </c>
      <c r="E728" s="2" t="s">
        <v>382</v>
      </c>
      <c r="F728" s="2" t="s">
        <v>389</v>
      </c>
      <c r="G728" s="2">
        <v>4</v>
      </c>
      <c r="H728" s="2">
        <v>50000</v>
      </c>
      <c r="I728" s="2">
        <v>0.05</v>
      </c>
      <c r="J728" s="3">
        <f t="shared" si="12"/>
        <v>190000</v>
      </c>
      <c r="K728" s="2" t="str">
        <f>TEXT(Table4[OrderDate], "mmmm")</f>
        <v>December</v>
      </c>
      <c r="L728" s="2">
        <f>IF(C728 = "", 0, IF(COUNTIF($C$2:C728, C728) = 1, 1, 0))</f>
        <v>0</v>
      </c>
    </row>
    <row r="729" spans="1:12" x14ac:dyDescent="0.25">
      <c r="A729" s="2">
        <v>1728</v>
      </c>
      <c r="B729" s="21" t="s">
        <v>328</v>
      </c>
      <c r="C729" s="2" t="s">
        <v>360</v>
      </c>
      <c r="D729" s="2" t="s">
        <v>379</v>
      </c>
      <c r="E729" s="2" t="s">
        <v>385</v>
      </c>
      <c r="F729" s="2" t="s">
        <v>390</v>
      </c>
      <c r="G729" s="2">
        <v>1</v>
      </c>
      <c r="H729" s="2">
        <v>2000</v>
      </c>
      <c r="I729" s="2">
        <v>0.05</v>
      </c>
      <c r="J729" s="3">
        <f t="shared" si="12"/>
        <v>1900</v>
      </c>
      <c r="K729" s="2" t="str">
        <f>TEXT(Table4[OrderDate], "mmmm")</f>
        <v>August</v>
      </c>
      <c r="L729" s="2">
        <f>IF(C729 = "", 0, IF(COUNTIF($C$2:C729, C729) = 1, 1, 0))</f>
        <v>0</v>
      </c>
    </row>
    <row r="730" spans="1:12" x14ac:dyDescent="0.25">
      <c r="A730" s="2">
        <v>1756</v>
      </c>
      <c r="B730" s="21" t="s">
        <v>40</v>
      </c>
      <c r="C730" s="2" t="s">
        <v>358</v>
      </c>
      <c r="D730" s="2" t="s">
        <v>380</v>
      </c>
      <c r="E730" s="2" t="s">
        <v>387</v>
      </c>
      <c r="F730" s="2" t="s">
        <v>391</v>
      </c>
      <c r="G730" s="2">
        <v>5</v>
      </c>
      <c r="H730" s="2">
        <v>3000</v>
      </c>
      <c r="I730" s="2">
        <v>0.05</v>
      </c>
      <c r="J730" s="3">
        <f t="shared" si="12"/>
        <v>14250</v>
      </c>
      <c r="K730" s="2" t="str">
        <f>TEXT(Table4[OrderDate], "mmmm")</f>
        <v>January</v>
      </c>
      <c r="L730" s="2">
        <f>IF(C730 = "", 0, IF(COUNTIF($C$2:C730, C730) = 1, 1, 0))</f>
        <v>0</v>
      </c>
    </row>
    <row r="731" spans="1:12" x14ac:dyDescent="0.25">
      <c r="A731" s="2">
        <v>1730</v>
      </c>
      <c r="B731" s="21" t="s">
        <v>253</v>
      </c>
      <c r="C731" s="2" t="s">
        <v>364</v>
      </c>
      <c r="D731" s="2" t="s">
        <v>380</v>
      </c>
      <c r="E731" s="2" t="s">
        <v>387</v>
      </c>
      <c r="F731" s="2" t="s">
        <v>391</v>
      </c>
      <c r="G731" s="2">
        <v>4</v>
      </c>
      <c r="H731" s="2">
        <v>3000</v>
      </c>
      <c r="I731" s="2">
        <v>0.15</v>
      </c>
      <c r="J731" s="3">
        <f t="shared" si="12"/>
        <v>10200</v>
      </c>
      <c r="K731" s="2" t="str">
        <f>TEXT(Table4[OrderDate], "mmmm")</f>
        <v>April</v>
      </c>
      <c r="L731" s="2">
        <f>IF(C731 = "", 0, IF(COUNTIF($C$2:C731, C731) = 1, 1, 0))</f>
        <v>0</v>
      </c>
    </row>
    <row r="732" spans="1:12" x14ac:dyDescent="0.25">
      <c r="A732" s="2">
        <v>1731</v>
      </c>
      <c r="B732" s="21" t="s">
        <v>112</v>
      </c>
      <c r="C732" s="2" t="s">
        <v>368</v>
      </c>
      <c r="D732" s="2" t="s">
        <v>373</v>
      </c>
      <c r="E732" s="2" t="s">
        <v>386</v>
      </c>
      <c r="F732" s="2" t="s">
        <v>391</v>
      </c>
      <c r="G732" s="2">
        <v>3</v>
      </c>
      <c r="H732" s="2">
        <v>7000</v>
      </c>
      <c r="I732" s="2">
        <v>0.1</v>
      </c>
      <c r="J732" s="3">
        <f t="shared" si="12"/>
        <v>18900</v>
      </c>
      <c r="K732" s="2" t="str">
        <f>TEXT(Table4[OrderDate], "mmmm")</f>
        <v>December</v>
      </c>
      <c r="L732" s="2">
        <f>IF(C732 = "", 0, IF(COUNTIF($C$2:C732, C732) = 1, 1, 0))</f>
        <v>0</v>
      </c>
    </row>
    <row r="733" spans="1:12" x14ac:dyDescent="0.25">
      <c r="A733" s="2">
        <v>1732</v>
      </c>
      <c r="B733" s="21" t="s">
        <v>238</v>
      </c>
      <c r="C733" s="2" t="s">
        <v>369</v>
      </c>
      <c r="D733" s="2" t="s">
        <v>377</v>
      </c>
      <c r="E733" s="2" t="s">
        <v>381</v>
      </c>
      <c r="F733" s="2" t="s">
        <v>389</v>
      </c>
      <c r="G733" s="2">
        <v>2</v>
      </c>
      <c r="H733" s="2">
        <v>20000</v>
      </c>
      <c r="I733" s="2">
        <v>0.15</v>
      </c>
      <c r="J733" s="3">
        <f t="shared" si="12"/>
        <v>34000</v>
      </c>
      <c r="K733" s="2" t="str">
        <f>TEXT(Table4[OrderDate], "mmmm")</f>
        <v>December</v>
      </c>
      <c r="L733" s="2">
        <f>IF(C733 = "", 0, IF(COUNTIF($C$2:C733, C733) = 1, 1, 0))</f>
        <v>0</v>
      </c>
    </row>
    <row r="734" spans="1:12" x14ac:dyDescent="0.25">
      <c r="A734" s="2">
        <v>1812</v>
      </c>
      <c r="B734" s="21" t="s">
        <v>200</v>
      </c>
      <c r="C734" s="2" t="s">
        <v>364</v>
      </c>
      <c r="D734" s="2" t="s">
        <v>376</v>
      </c>
      <c r="E734" s="2" t="s">
        <v>387</v>
      </c>
      <c r="F734" s="2" t="s">
        <v>391</v>
      </c>
      <c r="G734" s="2">
        <v>5</v>
      </c>
      <c r="H734" s="2">
        <v>3000</v>
      </c>
      <c r="I734" s="2">
        <v>0.05</v>
      </c>
      <c r="J734" s="3">
        <f t="shared" si="12"/>
        <v>14250</v>
      </c>
      <c r="K734" s="2" t="str">
        <f>TEXT(Table4[OrderDate], "mmmm")</f>
        <v>October</v>
      </c>
      <c r="L734" s="2">
        <f>IF(C734 = "", 0, IF(COUNTIF($C$2:C734, C734) = 1, 1, 0))</f>
        <v>0</v>
      </c>
    </row>
    <row r="735" spans="1:12" x14ac:dyDescent="0.25">
      <c r="A735" s="2">
        <v>1734</v>
      </c>
      <c r="B735" s="21" t="s">
        <v>249</v>
      </c>
      <c r="C735" s="2" t="s">
        <v>367</v>
      </c>
      <c r="D735" s="2" t="s">
        <v>378</v>
      </c>
      <c r="E735" s="2" t="s">
        <v>383</v>
      </c>
      <c r="F735" s="2" t="s">
        <v>390</v>
      </c>
      <c r="G735" s="2">
        <v>1</v>
      </c>
      <c r="H735" s="2">
        <v>1500</v>
      </c>
      <c r="I735" s="2">
        <v>0</v>
      </c>
      <c r="J735" s="3">
        <f t="shared" si="12"/>
        <v>1500</v>
      </c>
      <c r="K735" s="2" t="str">
        <f>TEXT(Table4[OrderDate], "mmmm")</f>
        <v>March</v>
      </c>
      <c r="L735" s="2">
        <f>IF(C735 = "", 0, IF(COUNTIF($C$2:C735, C735) = 1, 1, 0))</f>
        <v>0</v>
      </c>
    </row>
    <row r="736" spans="1:12" x14ac:dyDescent="0.25">
      <c r="A736" s="2">
        <v>1735</v>
      </c>
      <c r="B736" s="21" t="s">
        <v>64</v>
      </c>
      <c r="C736" s="2" t="s">
        <v>364</v>
      </c>
      <c r="D736" s="2" t="s">
        <v>377</v>
      </c>
      <c r="E736" s="2" t="s">
        <v>381</v>
      </c>
      <c r="F736" s="2" t="s">
        <v>389</v>
      </c>
      <c r="G736" s="2">
        <v>1</v>
      </c>
      <c r="H736" s="2">
        <v>20000</v>
      </c>
      <c r="I736" s="2">
        <v>0.1</v>
      </c>
      <c r="J736" s="3">
        <f t="shared" si="12"/>
        <v>18000</v>
      </c>
      <c r="K736" s="2" t="str">
        <f>TEXT(Table4[OrderDate], "mmmm")</f>
        <v>April</v>
      </c>
      <c r="L736" s="2">
        <f>IF(C736 = "", 0, IF(COUNTIF($C$2:C736, C736) = 1, 1, 0))</f>
        <v>0</v>
      </c>
    </row>
    <row r="737" spans="1:12" x14ac:dyDescent="0.25">
      <c r="A737" s="2">
        <v>1736</v>
      </c>
      <c r="B737" s="21" t="s">
        <v>203</v>
      </c>
      <c r="C737" s="2" t="s">
        <v>370</v>
      </c>
      <c r="D737" s="2" t="s">
        <v>374</v>
      </c>
      <c r="E737" s="2" t="s">
        <v>382</v>
      </c>
      <c r="F737" s="2" t="s">
        <v>389</v>
      </c>
      <c r="G737" s="2">
        <v>4</v>
      </c>
      <c r="H737" s="2">
        <v>50000</v>
      </c>
      <c r="I737" s="2">
        <v>0.15</v>
      </c>
      <c r="J737" s="3">
        <f t="shared" si="12"/>
        <v>170000</v>
      </c>
      <c r="K737" s="2" t="str">
        <f>TEXT(Table4[OrderDate], "mmmm")</f>
        <v>November</v>
      </c>
      <c r="L737" s="2">
        <f>IF(C737 = "", 0, IF(COUNTIF($C$2:C737, C737) = 1, 1, 0))</f>
        <v>0</v>
      </c>
    </row>
    <row r="738" spans="1:12" x14ac:dyDescent="0.25">
      <c r="A738" s="2">
        <v>1737</v>
      </c>
      <c r="B738" s="21" t="s">
        <v>314</v>
      </c>
      <c r="C738" s="2" t="s">
        <v>371</v>
      </c>
      <c r="D738" s="2" t="s">
        <v>379</v>
      </c>
      <c r="E738" s="2" t="s">
        <v>384</v>
      </c>
      <c r="F738" s="2" t="s">
        <v>389</v>
      </c>
      <c r="G738" s="2">
        <v>4</v>
      </c>
      <c r="H738" s="2">
        <v>30000</v>
      </c>
      <c r="I738" s="2">
        <v>0.15</v>
      </c>
      <c r="J738" s="3">
        <f t="shared" si="12"/>
        <v>102000</v>
      </c>
      <c r="K738" s="2" t="str">
        <f>TEXT(Table4[OrderDate], "mmmm")</f>
        <v>January</v>
      </c>
      <c r="L738" s="2">
        <f>IF(C738 = "", 0, IF(COUNTIF($C$2:C738, C738) = 1, 1, 0))</f>
        <v>0</v>
      </c>
    </row>
    <row r="739" spans="1:12" x14ac:dyDescent="0.25">
      <c r="A739" s="2">
        <v>1738</v>
      </c>
      <c r="B739" s="21" t="s">
        <v>203</v>
      </c>
      <c r="C739" s="2" t="s">
        <v>369</v>
      </c>
      <c r="D739" s="2" t="s">
        <v>374</v>
      </c>
      <c r="E739" s="2" t="s">
        <v>387</v>
      </c>
      <c r="F739" s="2" t="s">
        <v>391</v>
      </c>
      <c r="G739" s="2">
        <v>1</v>
      </c>
      <c r="H739" s="2">
        <v>3000</v>
      </c>
      <c r="I739" s="2">
        <v>0.05</v>
      </c>
      <c r="J739" s="3">
        <f t="shared" si="12"/>
        <v>2850</v>
      </c>
      <c r="K739" s="2" t="str">
        <f>TEXT(Table4[OrderDate], "mmmm")</f>
        <v>November</v>
      </c>
      <c r="L739" s="2">
        <f>IF(C739 = "", 0, IF(COUNTIF($C$2:C739, C739) = 1, 1, 0))</f>
        <v>0</v>
      </c>
    </row>
    <row r="740" spans="1:12" x14ac:dyDescent="0.25">
      <c r="A740" s="2">
        <v>1739</v>
      </c>
      <c r="B740" s="21" t="s">
        <v>52</v>
      </c>
      <c r="C740" s="2" t="s">
        <v>365</v>
      </c>
      <c r="D740" s="2" t="s">
        <v>379</v>
      </c>
      <c r="E740" s="2" t="s">
        <v>385</v>
      </c>
      <c r="F740" s="2" t="s">
        <v>390</v>
      </c>
      <c r="G740" s="2">
        <v>2</v>
      </c>
      <c r="H740" s="2">
        <v>2000</v>
      </c>
      <c r="I740" s="2">
        <v>0</v>
      </c>
      <c r="J740" s="3">
        <f t="shared" si="12"/>
        <v>4000</v>
      </c>
      <c r="K740" s="2" t="str">
        <f>TEXT(Table4[OrderDate], "mmmm")</f>
        <v>March</v>
      </c>
      <c r="L740" s="2">
        <f>IF(C740 = "", 0, IF(COUNTIF($C$2:C740, C740) = 1, 1, 0))</f>
        <v>0</v>
      </c>
    </row>
    <row r="741" spans="1:12" x14ac:dyDescent="0.25">
      <c r="A741" s="2">
        <v>1740</v>
      </c>
      <c r="B741" s="21" t="s">
        <v>73</v>
      </c>
      <c r="C741" s="2" t="s">
        <v>371</v>
      </c>
      <c r="D741" s="2" t="s">
        <v>374</v>
      </c>
      <c r="E741" s="2" t="s">
        <v>383</v>
      </c>
      <c r="F741" s="2" t="s">
        <v>390</v>
      </c>
      <c r="G741" s="2">
        <v>3</v>
      </c>
      <c r="H741" s="2">
        <v>1500</v>
      </c>
      <c r="I741" s="2">
        <v>0.15</v>
      </c>
      <c r="J741" s="3">
        <f t="shared" si="12"/>
        <v>3825</v>
      </c>
      <c r="K741" s="2" t="str">
        <f>TEXT(Table4[OrderDate], "mmmm")</f>
        <v>July</v>
      </c>
      <c r="L741" s="2">
        <f>IF(C741 = "", 0, IF(COUNTIF($C$2:C741, C741) = 1, 1, 0))</f>
        <v>0</v>
      </c>
    </row>
    <row r="742" spans="1:12" x14ac:dyDescent="0.25">
      <c r="A742" s="2">
        <v>1741</v>
      </c>
      <c r="B742" s="21" t="s">
        <v>236</v>
      </c>
      <c r="C742" s="2" t="s">
        <v>364</v>
      </c>
      <c r="D742" s="2" t="s">
        <v>376</v>
      </c>
      <c r="E742" s="2" t="s">
        <v>381</v>
      </c>
      <c r="F742" s="2" t="s">
        <v>389</v>
      </c>
      <c r="G742" s="2">
        <v>1</v>
      </c>
      <c r="H742" s="2">
        <v>20000</v>
      </c>
      <c r="I742" s="2">
        <v>0.1</v>
      </c>
      <c r="J742" s="3">
        <f t="shared" si="12"/>
        <v>18000</v>
      </c>
      <c r="K742" s="2" t="str">
        <f>TEXT(Table4[OrderDate], "mmmm")</f>
        <v>October</v>
      </c>
      <c r="L742" s="2">
        <f>IF(C742 = "", 0, IF(COUNTIF($C$2:C742, C742) = 1, 1, 0))</f>
        <v>0</v>
      </c>
    </row>
    <row r="743" spans="1:12" x14ac:dyDescent="0.25">
      <c r="A743" s="2">
        <v>1742</v>
      </c>
      <c r="B743" s="21" t="s">
        <v>19</v>
      </c>
      <c r="C743" s="2" t="s">
        <v>368</v>
      </c>
      <c r="D743" s="2" t="s">
        <v>374</v>
      </c>
      <c r="E743" s="2" t="s">
        <v>386</v>
      </c>
      <c r="F743" s="2" t="s">
        <v>391</v>
      </c>
      <c r="G743" s="2">
        <v>2</v>
      </c>
      <c r="H743" s="2">
        <v>7000</v>
      </c>
      <c r="I743" s="2">
        <v>0.05</v>
      </c>
      <c r="J743" s="3">
        <f t="shared" si="12"/>
        <v>13300</v>
      </c>
      <c r="K743" s="2" t="str">
        <f>TEXT(Table4[OrderDate], "mmmm")</f>
        <v>August</v>
      </c>
      <c r="L743" s="2">
        <f>IF(C743 = "", 0, IF(COUNTIF($C$2:C743, C743) = 1, 1, 0))</f>
        <v>0</v>
      </c>
    </row>
    <row r="744" spans="1:12" x14ac:dyDescent="0.25">
      <c r="A744" s="2">
        <v>1743</v>
      </c>
      <c r="B744" s="21" t="s">
        <v>31</v>
      </c>
      <c r="C744" s="2" t="s">
        <v>362</v>
      </c>
      <c r="D744" s="2" t="s">
        <v>377</v>
      </c>
      <c r="E744" s="2" t="s">
        <v>386</v>
      </c>
      <c r="F744" s="2" t="s">
        <v>391</v>
      </c>
      <c r="G744" s="2">
        <v>2</v>
      </c>
      <c r="H744" s="2">
        <v>7000</v>
      </c>
      <c r="I744" s="2">
        <v>0.15</v>
      </c>
      <c r="J744" s="3">
        <f t="shared" si="12"/>
        <v>11900</v>
      </c>
      <c r="K744" s="2" t="str">
        <f>TEXT(Table4[OrderDate], "mmmm")</f>
        <v>September</v>
      </c>
      <c r="L744" s="2">
        <f>IF(C744 = "", 0, IF(COUNTIF($C$2:C744, C744) = 1, 1, 0))</f>
        <v>0</v>
      </c>
    </row>
    <row r="745" spans="1:12" x14ac:dyDescent="0.25">
      <c r="A745" s="2">
        <v>1744</v>
      </c>
      <c r="B745" s="21" t="s">
        <v>330</v>
      </c>
      <c r="C745" s="2" t="s">
        <v>360</v>
      </c>
      <c r="D745" s="2" t="s">
        <v>379</v>
      </c>
      <c r="E745" s="2" t="s">
        <v>386</v>
      </c>
      <c r="F745" s="2" t="s">
        <v>391</v>
      </c>
      <c r="G745" s="2">
        <v>3</v>
      </c>
      <c r="H745" s="2">
        <v>7000</v>
      </c>
      <c r="I745" s="2">
        <v>0</v>
      </c>
      <c r="J745" s="3">
        <f t="shared" si="12"/>
        <v>21000</v>
      </c>
      <c r="K745" s="2" t="str">
        <f>TEXT(Table4[OrderDate], "mmmm")</f>
        <v>September</v>
      </c>
      <c r="L745" s="2">
        <f>IF(C745 = "", 0, IF(COUNTIF($C$2:C745, C745) = 1, 1, 0))</f>
        <v>0</v>
      </c>
    </row>
    <row r="746" spans="1:12" x14ac:dyDescent="0.25">
      <c r="A746" s="2">
        <v>1745</v>
      </c>
      <c r="B746" s="21" t="s">
        <v>38</v>
      </c>
      <c r="C746" s="2" t="s">
        <v>366</v>
      </c>
      <c r="D746" s="2" t="s">
        <v>380</v>
      </c>
      <c r="E746" s="2" t="s">
        <v>388</v>
      </c>
      <c r="F746" s="2" t="s">
        <v>389</v>
      </c>
      <c r="G746" s="2">
        <v>4</v>
      </c>
      <c r="H746" s="2">
        <v>12000</v>
      </c>
      <c r="I746" s="2">
        <v>0.15</v>
      </c>
      <c r="J746" s="3">
        <f t="shared" si="12"/>
        <v>40800</v>
      </c>
      <c r="K746" s="2" t="str">
        <f>TEXT(Table4[OrderDate], "mmmm")</f>
        <v>May</v>
      </c>
      <c r="L746" s="2">
        <f>IF(C746 = "", 0, IF(COUNTIF($C$2:C746, C746) = 1, 1, 0))</f>
        <v>0</v>
      </c>
    </row>
    <row r="747" spans="1:12" x14ac:dyDescent="0.25">
      <c r="A747" s="2">
        <v>1851</v>
      </c>
      <c r="B747" s="21" t="s">
        <v>226</v>
      </c>
      <c r="C747" s="2" t="s">
        <v>359</v>
      </c>
      <c r="D747" s="2" t="s">
        <v>376</v>
      </c>
      <c r="E747" s="2" t="s">
        <v>387</v>
      </c>
      <c r="F747" s="2" t="s">
        <v>391</v>
      </c>
      <c r="G747" s="2">
        <v>5</v>
      </c>
      <c r="H747" s="2">
        <v>3000</v>
      </c>
      <c r="I747" s="2">
        <v>0.05</v>
      </c>
      <c r="J747" s="3">
        <f t="shared" si="12"/>
        <v>14250</v>
      </c>
      <c r="K747" s="2" t="str">
        <f>TEXT(Table4[OrderDate], "mmmm")</f>
        <v>May</v>
      </c>
      <c r="L747" s="2">
        <f>IF(C747 = "", 0, IF(COUNTIF($C$2:C747, C747) = 1, 1, 0))</f>
        <v>0</v>
      </c>
    </row>
    <row r="748" spans="1:12" x14ac:dyDescent="0.25">
      <c r="A748" s="2">
        <v>1747</v>
      </c>
      <c r="B748" s="21" t="s">
        <v>145</v>
      </c>
      <c r="C748" s="2" t="s">
        <v>357</v>
      </c>
      <c r="D748" s="2" t="s">
        <v>376</v>
      </c>
      <c r="E748" s="2" t="s">
        <v>381</v>
      </c>
      <c r="F748" s="2" t="s">
        <v>389</v>
      </c>
      <c r="G748" s="2">
        <v>4</v>
      </c>
      <c r="H748" s="2">
        <v>20000</v>
      </c>
      <c r="I748" s="2">
        <v>0.05</v>
      </c>
      <c r="J748" s="3">
        <f t="shared" si="12"/>
        <v>76000</v>
      </c>
      <c r="K748" s="2" t="str">
        <f>TEXT(Table4[OrderDate], "mmmm")</f>
        <v>December</v>
      </c>
      <c r="L748" s="2">
        <f>IF(C748 = "", 0, IF(COUNTIF($C$2:C748, C748) = 1, 1, 0))</f>
        <v>0</v>
      </c>
    </row>
    <row r="749" spans="1:12" x14ac:dyDescent="0.25">
      <c r="A749" s="2">
        <v>1748</v>
      </c>
      <c r="B749" s="21" t="s">
        <v>238</v>
      </c>
      <c r="C749" s="2" t="s">
        <v>360</v>
      </c>
      <c r="D749" s="2" t="s">
        <v>375</v>
      </c>
      <c r="E749" s="2" t="s">
        <v>383</v>
      </c>
      <c r="F749" s="2" t="s">
        <v>390</v>
      </c>
      <c r="G749" s="2">
        <v>3</v>
      </c>
      <c r="H749" s="2">
        <v>1500</v>
      </c>
      <c r="I749" s="2">
        <v>0</v>
      </c>
      <c r="J749" s="3">
        <f t="shared" si="12"/>
        <v>4500</v>
      </c>
      <c r="K749" s="2" t="str">
        <f>TEXT(Table4[OrderDate], "mmmm")</f>
        <v>December</v>
      </c>
      <c r="L749" s="2">
        <f>IF(C749 = "", 0, IF(COUNTIF($C$2:C749, C749) = 1, 1, 0))</f>
        <v>0</v>
      </c>
    </row>
    <row r="750" spans="1:12" x14ac:dyDescent="0.25">
      <c r="A750" s="2">
        <v>1749</v>
      </c>
      <c r="B750" s="21" t="s">
        <v>323</v>
      </c>
      <c r="C750" s="2" t="s">
        <v>366</v>
      </c>
      <c r="D750" s="2" t="s">
        <v>377</v>
      </c>
      <c r="E750" s="2" t="s">
        <v>386</v>
      </c>
      <c r="F750" s="2" t="s">
        <v>391</v>
      </c>
      <c r="G750" s="2">
        <v>1</v>
      </c>
      <c r="H750" s="2">
        <v>7000</v>
      </c>
      <c r="I750" s="2">
        <v>0.15</v>
      </c>
      <c r="J750" s="3">
        <f t="shared" si="12"/>
        <v>5950</v>
      </c>
      <c r="K750" s="2" t="str">
        <f>TEXT(Table4[OrderDate], "mmmm")</f>
        <v>December</v>
      </c>
      <c r="L750" s="2">
        <f>IF(C750 = "", 0, IF(COUNTIF($C$2:C750, C750) = 1, 1, 0))</f>
        <v>0</v>
      </c>
    </row>
    <row r="751" spans="1:12" x14ac:dyDescent="0.25">
      <c r="A751" s="2">
        <v>1750</v>
      </c>
      <c r="B751" s="21" t="s">
        <v>61</v>
      </c>
      <c r="C751" s="2" t="s">
        <v>371</v>
      </c>
      <c r="D751" s="2" t="s">
        <v>379</v>
      </c>
      <c r="E751" s="2" t="s">
        <v>384</v>
      </c>
      <c r="F751" s="2" t="s">
        <v>389</v>
      </c>
      <c r="G751" s="2">
        <v>4</v>
      </c>
      <c r="H751" s="2">
        <v>30000</v>
      </c>
      <c r="I751" s="2">
        <v>0.1</v>
      </c>
      <c r="J751" s="3">
        <f t="shared" si="12"/>
        <v>108000</v>
      </c>
      <c r="K751" s="2" t="str">
        <f>TEXT(Table4[OrderDate], "mmmm")</f>
        <v>June</v>
      </c>
      <c r="L751" s="2">
        <f>IF(C751 = "", 0, IF(COUNTIF($C$2:C751, C751) = 1, 1, 0))</f>
        <v>0</v>
      </c>
    </row>
    <row r="752" spans="1:12" x14ac:dyDescent="0.25">
      <c r="A752" s="2">
        <v>1751</v>
      </c>
      <c r="B752" s="21" t="s">
        <v>93</v>
      </c>
      <c r="C752" s="2" t="s">
        <v>357</v>
      </c>
      <c r="D752" s="2" t="s">
        <v>375</v>
      </c>
      <c r="E752" s="2" t="s">
        <v>384</v>
      </c>
      <c r="F752" s="2" t="s">
        <v>389</v>
      </c>
      <c r="G752" s="2">
        <v>2</v>
      </c>
      <c r="H752" s="2">
        <v>30000</v>
      </c>
      <c r="I752" s="2">
        <v>0.15</v>
      </c>
      <c r="J752" s="3">
        <f t="shared" si="12"/>
        <v>51000</v>
      </c>
      <c r="K752" s="2" t="str">
        <f>TEXT(Table4[OrderDate], "mmmm")</f>
        <v>April</v>
      </c>
      <c r="L752" s="2">
        <f>IF(C752 = "", 0, IF(COUNTIF($C$2:C752, C752) = 1, 1, 0))</f>
        <v>0</v>
      </c>
    </row>
    <row r="753" spans="1:12" x14ac:dyDescent="0.25">
      <c r="A753" s="2">
        <v>1752</v>
      </c>
      <c r="B753" s="21" t="s">
        <v>331</v>
      </c>
      <c r="C753" s="2" t="s">
        <v>357</v>
      </c>
      <c r="D753" s="2" t="s">
        <v>376</v>
      </c>
      <c r="E753" s="2" t="s">
        <v>386</v>
      </c>
      <c r="F753" s="2" t="s">
        <v>391</v>
      </c>
      <c r="G753" s="2">
        <v>2</v>
      </c>
      <c r="H753" s="2">
        <v>7000</v>
      </c>
      <c r="I753" s="2">
        <v>0.05</v>
      </c>
      <c r="J753" s="3">
        <f t="shared" si="12"/>
        <v>13300</v>
      </c>
      <c r="K753" s="2" t="str">
        <f>TEXT(Table4[OrderDate], "mmmm")</f>
        <v>April</v>
      </c>
      <c r="L753" s="2">
        <f>IF(C753 = "", 0, IF(COUNTIF($C$2:C753, C753) = 1, 1, 0))</f>
        <v>0</v>
      </c>
    </row>
    <row r="754" spans="1:12" x14ac:dyDescent="0.25">
      <c r="A754" s="2">
        <v>1753</v>
      </c>
      <c r="B754" s="21" t="s">
        <v>202</v>
      </c>
      <c r="C754" s="2" t="s">
        <v>367</v>
      </c>
      <c r="D754" s="2" t="s">
        <v>374</v>
      </c>
      <c r="E754" s="2" t="s">
        <v>384</v>
      </c>
      <c r="F754" s="2" t="s">
        <v>389</v>
      </c>
      <c r="G754" s="2">
        <v>1</v>
      </c>
      <c r="H754" s="2">
        <v>30000</v>
      </c>
      <c r="I754" s="2">
        <v>0</v>
      </c>
      <c r="J754" s="3">
        <f t="shared" si="12"/>
        <v>30000</v>
      </c>
      <c r="K754" s="2" t="str">
        <f>TEXT(Table4[OrderDate], "mmmm")</f>
        <v>February</v>
      </c>
      <c r="L754" s="2">
        <f>IF(C754 = "", 0, IF(COUNTIF($C$2:C754, C754) = 1, 1, 0))</f>
        <v>0</v>
      </c>
    </row>
    <row r="755" spans="1:12" x14ac:dyDescent="0.25">
      <c r="A755" s="2">
        <v>1754</v>
      </c>
      <c r="B755" s="21" t="s">
        <v>148</v>
      </c>
      <c r="C755" s="2" t="s">
        <v>366</v>
      </c>
      <c r="D755" s="2" t="s">
        <v>380</v>
      </c>
      <c r="E755" s="2" t="s">
        <v>382</v>
      </c>
      <c r="F755" s="2" t="s">
        <v>389</v>
      </c>
      <c r="G755" s="2">
        <v>4</v>
      </c>
      <c r="H755" s="2">
        <v>50000</v>
      </c>
      <c r="I755" s="2">
        <v>0.1</v>
      </c>
      <c r="J755" s="3">
        <f t="shared" si="12"/>
        <v>180000</v>
      </c>
      <c r="K755" s="2" t="str">
        <f>TEXT(Table4[OrderDate], "mmmm")</f>
        <v>November</v>
      </c>
      <c r="L755" s="2">
        <f>IF(C755 = "", 0, IF(COUNTIF($C$2:C755, C755) = 1, 1, 0))</f>
        <v>0</v>
      </c>
    </row>
    <row r="756" spans="1:12" x14ac:dyDescent="0.25">
      <c r="A756" s="2">
        <v>1755</v>
      </c>
      <c r="B756" s="21" t="s">
        <v>75</v>
      </c>
      <c r="C756" s="2" t="s">
        <v>360</v>
      </c>
      <c r="D756" s="2" t="s">
        <v>378</v>
      </c>
      <c r="E756" s="2" t="s">
        <v>386</v>
      </c>
      <c r="F756" s="2" t="s">
        <v>391</v>
      </c>
      <c r="G756" s="2">
        <v>4</v>
      </c>
      <c r="H756" s="2">
        <v>7000</v>
      </c>
      <c r="I756" s="2">
        <v>0.05</v>
      </c>
      <c r="J756" s="3">
        <f t="shared" si="12"/>
        <v>26600</v>
      </c>
      <c r="K756" s="2" t="str">
        <f>TEXT(Table4[OrderDate], "mmmm")</f>
        <v>September</v>
      </c>
      <c r="L756" s="2">
        <f>IF(C756 = "", 0, IF(COUNTIF($C$2:C756, C756) = 1, 1, 0))</f>
        <v>0</v>
      </c>
    </row>
    <row r="757" spans="1:12" x14ac:dyDescent="0.25">
      <c r="A757" s="2">
        <v>1853</v>
      </c>
      <c r="B757" s="21" t="s">
        <v>248</v>
      </c>
      <c r="C757" s="2" t="s">
        <v>360</v>
      </c>
      <c r="D757" s="2" t="s">
        <v>380</v>
      </c>
      <c r="E757" s="2" t="s">
        <v>387</v>
      </c>
      <c r="F757" s="2" t="s">
        <v>391</v>
      </c>
      <c r="G757" s="2">
        <v>5</v>
      </c>
      <c r="H757" s="2">
        <v>3000</v>
      </c>
      <c r="I757" s="2">
        <v>0.05</v>
      </c>
      <c r="J757" s="3">
        <f t="shared" si="12"/>
        <v>14250</v>
      </c>
      <c r="K757" s="2" t="str">
        <f>TEXT(Table4[OrderDate], "mmmm")</f>
        <v>April</v>
      </c>
      <c r="L757" s="2">
        <f>IF(C757 = "", 0, IF(COUNTIF($C$2:C757, C757) = 1, 1, 0))</f>
        <v>0</v>
      </c>
    </row>
    <row r="758" spans="1:12" x14ac:dyDescent="0.25">
      <c r="A758" s="2">
        <v>1865</v>
      </c>
      <c r="B758" s="21" t="s">
        <v>328</v>
      </c>
      <c r="C758" s="2" t="s">
        <v>370</v>
      </c>
      <c r="D758" s="2" t="s">
        <v>376</v>
      </c>
      <c r="E758" s="2" t="s">
        <v>387</v>
      </c>
      <c r="F758" s="2" t="s">
        <v>391</v>
      </c>
      <c r="G758" s="2">
        <v>5</v>
      </c>
      <c r="H758" s="2">
        <v>3000</v>
      </c>
      <c r="I758" s="2">
        <v>0.05</v>
      </c>
      <c r="J758" s="3">
        <f t="shared" si="12"/>
        <v>14250</v>
      </c>
      <c r="K758" s="2" t="str">
        <f>TEXT(Table4[OrderDate], "mmmm")</f>
        <v>August</v>
      </c>
      <c r="L758" s="2">
        <f>IF(C758 = "", 0, IF(COUNTIF($C$2:C758, C758) = 1, 1, 0))</f>
        <v>0</v>
      </c>
    </row>
    <row r="759" spans="1:12" x14ac:dyDescent="0.25">
      <c r="A759" s="2">
        <v>1015</v>
      </c>
      <c r="B759" s="21" t="s">
        <v>24</v>
      </c>
      <c r="C759" s="2" t="s">
        <v>367</v>
      </c>
      <c r="D759" s="2" t="s">
        <v>378</v>
      </c>
      <c r="E759" s="2" t="s">
        <v>387</v>
      </c>
      <c r="F759" s="2" t="s">
        <v>391</v>
      </c>
      <c r="G759" s="2">
        <v>5</v>
      </c>
      <c r="H759" s="2">
        <v>3000</v>
      </c>
      <c r="I759" s="2">
        <v>0.1</v>
      </c>
      <c r="J759" s="3">
        <f t="shared" si="12"/>
        <v>13500</v>
      </c>
      <c r="K759" s="2" t="str">
        <f>TEXT(Table4[OrderDate], "mmmm")</f>
        <v>April</v>
      </c>
      <c r="L759" s="2">
        <f>IF(C759 = "", 0, IF(COUNTIF($C$2:C759, C759) = 1, 1, 0))</f>
        <v>0</v>
      </c>
    </row>
    <row r="760" spans="1:12" x14ac:dyDescent="0.25">
      <c r="A760" s="2">
        <v>1759</v>
      </c>
      <c r="B760" s="21" t="s">
        <v>262</v>
      </c>
      <c r="C760" s="2" t="s">
        <v>364</v>
      </c>
      <c r="D760" s="2" t="s">
        <v>379</v>
      </c>
      <c r="E760" s="2" t="s">
        <v>387</v>
      </c>
      <c r="F760" s="2" t="s">
        <v>391</v>
      </c>
      <c r="G760" s="2">
        <v>4</v>
      </c>
      <c r="H760" s="2">
        <v>3000</v>
      </c>
      <c r="I760" s="2">
        <v>0</v>
      </c>
      <c r="J760" s="3">
        <f t="shared" si="12"/>
        <v>12000</v>
      </c>
      <c r="K760" s="2" t="str">
        <f>TEXT(Table4[OrderDate], "mmmm")</f>
        <v>June</v>
      </c>
      <c r="L760" s="2">
        <f>IF(C760 = "", 0, IF(COUNTIF($C$2:C760, C760) = 1, 1, 0))</f>
        <v>0</v>
      </c>
    </row>
    <row r="761" spans="1:12" x14ac:dyDescent="0.25">
      <c r="A761" s="2">
        <v>1048</v>
      </c>
      <c r="B761" s="21" t="s">
        <v>50</v>
      </c>
      <c r="C761" s="2" t="s">
        <v>364</v>
      </c>
      <c r="D761" s="2" t="s">
        <v>377</v>
      </c>
      <c r="E761" s="2" t="s">
        <v>387</v>
      </c>
      <c r="F761" s="2" t="s">
        <v>391</v>
      </c>
      <c r="G761" s="2">
        <v>5</v>
      </c>
      <c r="H761" s="2">
        <v>3000</v>
      </c>
      <c r="I761" s="2">
        <v>0.1</v>
      </c>
      <c r="J761" s="3">
        <f t="shared" si="12"/>
        <v>13500</v>
      </c>
      <c r="K761" s="2" t="str">
        <f>TEXT(Table4[OrderDate], "mmmm")</f>
        <v>March</v>
      </c>
      <c r="L761" s="2">
        <f>IF(C761 = "", 0, IF(COUNTIF($C$2:C761, C761) = 1, 1, 0))</f>
        <v>0</v>
      </c>
    </row>
    <row r="762" spans="1:12" x14ac:dyDescent="0.25">
      <c r="A762" s="2">
        <v>1761</v>
      </c>
      <c r="B762" s="21" t="s">
        <v>205</v>
      </c>
      <c r="C762" s="2" t="s">
        <v>358</v>
      </c>
      <c r="D762" s="2" t="s">
        <v>375</v>
      </c>
      <c r="E762" s="2" t="s">
        <v>385</v>
      </c>
      <c r="F762" s="2" t="s">
        <v>390</v>
      </c>
      <c r="G762" s="2">
        <v>3</v>
      </c>
      <c r="H762" s="2">
        <v>2000</v>
      </c>
      <c r="I762" s="2">
        <v>0.05</v>
      </c>
      <c r="J762" s="3">
        <f t="shared" si="12"/>
        <v>5700</v>
      </c>
      <c r="K762" s="2" t="str">
        <f>TEXT(Table4[OrderDate], "mmmm")</f>
        <v>September</v>
      </c>
      <c r="L762" s="2">
        <f>IF(C762 = "", 0, IF(COUNTIF($C$2:C762, C762) = 1, 1, 0))</f>
        <v>0</v>
      </c>
    </row>
    <row r="763" spans="1:12" x14ac:dyDescent="0.25">
      <c r="A763" s="2">
        <v>1762</v>
      </c>
      <c r="B763" s="21" t="s">
        <v>23</v>
      </c>
      <c r="C763" s="2" t="s">
        <v>360</v>
      </c>
      <c r="D763" s="2" t="s">
        <v>380</v>
      </c>
      <c r="E763" s="2" t="s">
        <v>383</v>
      </c>
      <c r="F763" s="2" t="s">
        <v>390</v>
      </c>
      <c r="G763" s="2">
        <v>3</v>
      </c>
      <c r="H763" s="2">
        <v>1500</v>
      </c>
      <c r="I763" s="2">
        <v>0.1</v>
      </c>
      <c r="J763" s="3">
        <f t="shared" si="12"/>
        <v>4050</v>
      </c>
      <c r="K763" s="2" t="str">
        <f>TEXT(Table4[OrderDate], "mmmm")</f>
        <v>July</v>
      </c>
      <c r="L763" s="2">
        <f>IF(C763 = "", 0, IF(COUNTIF($C$2:C763, C763) = 1, 1, 0))</f>
        <v>0</v>
      </c>
    </row>
    <row r="764" spans="1:12" x14ac:dyDescent="0.25">
      <c r="A764" s="2">
        <v>1167</v>
      </c>
      <c r="B764" s="21" t="s">
        <v>142</v>
      </c>
      <c r="C764" s="2" t="s">
        <v>361</v>
      </c>
      <c r="D764" s="2" t="s">
        <v>377</v>
      </c>
      <c r="E764" s="2" t="s">
        <v>387</v>
      </c>
      <c r="F764" s="2" t="s">
        <v>391</v>
      </c>
      <c r="G764" s="2">
        <v>5</v>
      </c>
      <c r="H764" s="2">
        <v>3000</v>
      </c>
      <c r="I764" s="2">
        <v>0.1</v>
      </c>
      <c r="J764" s="3">
        <f t="shared" si="12"/>
        <v>13500</v>
      </c>
      <c r="K764" s="2" t="str">
        <f>TEXT(Table4[OrderDate], "mmmm")</f>
        <v>December</v>
      </c>
      <c r="L764" s="2">
        <f>IF(C764 = "", 0, IF(COUNTIF($C$2:C764, C764) = 1, 1, 0))</f>
        <v>0</v>
      </c>
    </row>
    <row r="765" spans="1:12" x14ac:dyDescent="0.25">
      <c r="A765" s="2">
        <v>1764</v>
      </c>
      <c r="B765" s="21" t="s">
        <v>239</v>
      </c>
      <c r="C765" s="2" t="s">
        <v>371</v>
      </c>
      <c r="D765" s="2" t="s">
        <v>373</v>
      </c>
      <c r="E765" s="2" t="s">
        <v>386</v>
      </c>
      <c r="F765" s="2" t="s">
        <v>391</v>
      </c>
      <c r="G765" s="2">
        <v>2</v>
      </c>
      <c r="H765" s="2">
        <v>7000</v>
      </c>
      <c r="I765" s="2">
        <v>0.15</v>
      </c>
      <c r="J765" s="3">
        <f t="shared" si="12"/>
        <v>11900</v>
      </c>
      <c r="K765" s="2" t="str">
        <f>TEXT(Table4[OrderDate], "mmmm")</f>
        <v>July</v>
      </c>
      <c r="L765" s="2">
        <f>IF(C765 = "", 0, IF(COUNTIF($C$2:C765, C765) = 1, 1, 0))</f>
        <v>0</v>
      </c>
    </row>
    <row r="766" spans="1:12" x14ac:dyDescent="0.25">
      <c r="A766" s="2">
        <v>1765</v>
      </c>
      <c r="B766" s="21" t="s">
        <v>78</v>
      </c>
      <c r="C766" s="2" t="s">
        <v>358</v>
      </c>
      <c r="D766" s="2" t="s">
        <v>380</v>
      </c>
      <c r="E766" s="2" t="s">
        <v>384</v>
      </c>
      <c r="F766" s="2" t="s">
        <v>389</v>
      </c>
      <c r="G766" s="2">
        <v>4</v>
      </c>
      <c r="H766" s="2">
        <v>30000</v>
      </c>
      <c r="I766" s="2">
        <v>0</v>
      </c>
      <c r="J766" s="3">
        <f t="shared" si="12"/>
        <v>120000</v>
      </c>
      <c r="K766" s="2" t="str">
        <f>TEXT(Table4[OrderDate], "mmmm")</f>
        <v>March</v>
      </c>
      <c r="L766" s="2">
        <f>IF(C766 = "", 0, IF(COUNTIF($C$2:C766, C766) = 1, 1, 0))</f>
        <v>0</v>
      </c>
    </row>
    <row r="767" spans="1:12" x14ac:dyDescent="0.25">
      <c r="A767" s="2">
        <v>1303</v>
      </c>
      <c r="B767" s="21" t="s">
        <v>220</v>
      </c>
      <c r="C767" s="2" t="s">
        <v>372</v>
      </c>
      <c r="D767" s="2" t="s">
        <v>379</v>
      </c>
      <c r="E767" s="2" t="s">
        <v>387</v>
      </c>
      <c r="F767" s="2" t="s">
        <v>391</v>
      </c>
      <c r="G767" s="2">
        <v>5</v>
      </c>
      <c r="H767" s="2">
        <v>3000</v>
      </c>
      <c r="I767" s="2">
        <v>0.1</v>
      </c>
      <c r="J767" s="3">
        <f t="shared" si="12"/>
        <v>13500</v>
      </c>
      <c r="K767" s="2" t="str">
        <f>TEXT(Table4[OrderDate], "mmmm")</f>
        <v>January</v>
      </c>
      <c r="L767" s="2">
        <f>IF(C767 = "", 0, IF(COUNTIF($C$2:C767, C767) = 1, 1, 0))</f>
        <v>0</v>
      </c>
    </row>
    <row r="768" spans="1:12" x14ac:dyDescent="0.25">
      <c r="A768" s="2">
        <v>1767</v>
      </c>
      <c r="B768" s="21" t="s">
        <v>152</v>
      </c>
      <c r="C768" s="2" t="s">
        <v>369</v>
      </c>
      <c r="D768" s="2" t="s">
        <v>374</v>
      </c>
      <c r="E768" s="2" t="s">
        <v>382</v>
      </c>
      <c r="F768" s="2" t="s">
        <v>389</v>
      </c>
      <c r="G768" s="2">
        <v>4</v>
      </c>
      <c r="H768" s="2">
        <v>50000</v>
      </c>
      <c r="I768" s="2">
        <v>0</v>
      </c>
      <c r="J768" s="3">
        <f t="shared" si="12"/>
        <v>200000</v>
      </c>
      <c r="K768" s="2" t="str">
        <f>TEXT(Table4[OrderDate], "mmmm")</f>
        <v>December</v>
      </c>
      <c r="L768" s="2">
        <f>IF(C768 = "", 0, IF(COUNTIF($C$2:C768, C768) = 1, 1, 0))</f>
        <v>0</v>
      </c>
    </row>
    <row r="769" spans="1:12" x14ac:dyDescent="0.25">
      <c r="A769" s="2">
        <v>1768</v>
      </c>
      <c r="B769" s="21" t="s">
        <v>333</v>
      </c>
      <c r="C769" s="2" t="s">
        <v>362</v>
      </c>
      <c r="D769" s="2" t="s">
        <v>380</v>
      </c>
      <c r="E769" s="2" t="s">
        <v>387</v>
      </c>
      <c r="F769" s="2" t="s">
        <v>391</v>
      </c>
      <c r="G769" s="2">
        <v>3</v>
      </c>
      <c r="H769" s="2">
        <v>3000</v>
      </c>
      <c r="I769" s="2">
        <v>0.15</v>
      </c>
      <c r="J769" s="3">
        <f t="shared" si="12"/>
        <v>7650</v>
      </c>
      <c r="K769" s="2" t="str">
        <f>TEXT(Table4[OrderDate], "mmmm")</f>
        <v>November</v>
      </c>
      <c r="L769" s="2">
        <f>IF(C769 = "", 0, IF(COUNTIF($C$2:C769, C769) = 1, 1, 0))</f>
        <v>0</v>
      </c>
    </row>
    <row r="770" spans="1:12" x14ac:dyDescent="0.25">
      <c r="A770" s="2">
        <v>1769</v>
      </c>
      <c r="B770" s="21" t="s">
        <v>247</v>
      </c>
      <c r="C770" s="2" t="s">
        <v>360</v>
      </c>
      <c r="D770" s="2" t="s">
        <v>376</v>
      </c>
      <c r="E770" s="2" t="s">
        <v>385</v>
      </c>
      <c r="F770" s="2" t="s">
        <v>390</v>
      </c>
      <c r="G770" s="2">
        <v>3</v>
      </c>
      <c r="H770" s="2">
        <v>2000</v>
      </c>
      <c r="I770" s="2">
        <v>0.1</v>
      </c>
      <c r="J770" s="3">
        <f t="shared" ref="J770:J833" si="13">H770*(1-I770)*G770</f>
        <v>5400</v>
      </c>
      <c r="K770" s="2" t="str">
        <f>TEXT(Table4[OrderDate], "mmmm")</f>
        <v>July</v>
      </c>
      <c r="L770" s="2">
        <f>IF(C770 = "", 0, IF(COUNTIF($C$2:C770, C770) = 1, 1, 0))</f>
        <v>0</v>
      </c>
    </row>
    <row r="771" spans="1:12" x14ac:dyDescent="0.25">
      <c r="A771" s="2">
        <v>1770</v>
      </c>
      <c r="B771" s="21" t="s">
        <v>92</v>
      </c>
      <c r="C771" s="2" t="s">
        <v>371</v>
      </c>
      <c r="D771" s="2" t="s">
        <v>373</v>
      </c>
      <c r="E771" s="2" t="s">
        <v>382</v>
      </c>
      <c r="F771" s="2" t="s">
        <v>389</v>
      </c>
      <c r="G771" s="2">
        <v>4</v>
      </c>
      <c r="H771" s="2">
        <v>50000</v>
      </c>
      <c r="I771" s="2">
        <v>0</v>
      </c>
      <c r="J771" s="3">
        <f t="shared" si="13"/>
        <v>200000</v>
      </c>
      <c r="K771" s="2" t="str">
        <f>TEXT(Table4[OrderDate], "mmmm")</f>
        <v>June</v>
      </c>
      <c r="L771" s="2">
        <f>IF(C771 = "", 0, IF(COUNTIF($C$2:C771, C771) = 1, 1, 0))</f>
        <v>0</v>
      </c>
    </row>
    <row r="772" spans="1:12" x14ac:dyDescent="0.25">
      <c r="A772" s="2">
        <v>1771</v>
      </c>
      <c r="B772" s="21" t="s">
        <v>323</v>
      </c>
      <c r="C772" s="2" t="s">
        <v>367</v>
      </c>
      <c r="D772" s="2" t="s">
        <v>380</v>
      </c>
      <c r="E772" s="2" t="s">
        <v>386</v>
      </c>
      <c r="F772" s="2" t="s">
        <v>391</v>
      </c>
      <c r="G772" s="2">
        <v>3</v>
      </c>
      <c r="H772" s="2">
        <v>7000</v>
      </c>
      <c r="I772" s="2">
        <v>0.1</v>
      </c>
      <c r="J772" s="3">
        <f t="shared" si="13"/>
        <v>18900</v>
      </c>
      <c r="K772" s="2" t="str">
        <f>TEXT(Table4[OrderDate], "mmmm")</f>
        <v>December</v>
      </c>
      <c r="L772" s="2">
        <f>IF(C772 = "", 0, IF(COUNTIF($C$2:C772, C772) = 1, 1, 0))</f>
        <v>0</v>
      </c>
    </row>
    <row r="773" spans="1:12" x14ac:dyDescent="0.25">
      <c r="A773" s="2">
        <v>1772</v>
      </c>
      <c r="B773" s="21" t="s">
        <v>242</v>
      </c>
      <c r="C773" s="2" t="s">
        <v>361</v>
      </c>
      <c r="D773" s="2" t="s">
        <v>373</v>
      </c>
      <c r="E773" s="2" t="s">
        <v>381</v>
      </c>
      <c r="F773" s="2" t="s">
        <v>389</v>
      </c>
      <c r="G773" s="2">
        <v>4</v>
      </c>
      <c r="H773" s="2">
        <v>20000</v>
      </c>
      <c r="I773" s="2">
        <v>0.1</v>
      </c>
      <c r="J773" s="3">
        <f t="shared" si="13"/>
        <v>72000</v>
      </c>
      <c r="K773" s="2" t="str">
        <f>TEXT(Table4[OrderDate], "mmmm")</f>
        <v>August</v>
      </c>
      <c r="L773" s="2">
        <f>IF(C773 = "", 0, IF(COUNTIF($C$2:C773, C773) = 1, 1, 0))</f>
        <v>0</v>
      </c>
    </row>
    <row r="774" spans="1:12" x14ac:dyDescent="0.25">
      <c r="A774" s="2">
        <v>1773</v>
      </c>
      <c r="B774" s="21" t="s">
        <v>281</v>
      </c>
      <c r="C774" s="2" t="s">
        <v>365</v>
      </c>
      <c r="D774" s="2" t="s">
        <v>373</v>
      </c>
      <c r="E774" s="2" t="s">
        <v>385</v>
      </c>
      <c r="F774" s="2" t="s">
        <v>390</v>
      </c>
      <c r="G774" s="2">
        <v>4</v>
      </c>
      <c r="H774" s="2">
        <v>2000</v>
      </c>
      <c r="I774" s="2">
        <v>0.15</v>
      </c>
      <c r="J774" s="3">
        <f t="shared" si="13"/>
        <v>6800</v>
      </c>
      <c r="K774" s="2" t="str">
        <f>TEXT(Table4[OrderDate], "mmmm")</f>
        <v>February</v>
      </c>
      <c r="L774" s="2">
        <f>IF(C774 = "", 0, IF(COUNTIF($C$2:C774, C774) = 1, 1, 0))</f>
        <v>0</v>
      </c>
    </row>
    <row r="775" spans="1:12" x14ac:dyDescent="0.25">
      <c r="A775" s="2">
        <v>1774</v>
      </c>
      <c r="B775" s="21" t="s">
        <v>131</v>
      </c>
      <c r="C775" s="2" t="s">
        <v>370</v>
      </c>
      <c r="D775" s="2" t="s">
        <v>379</v>
      </c>
      <c r="E775" s="2" t="s">
        <v>385</v>
      </c>
      <c r="F775" s="2" t="s">
        <v>390</v>
      </c>
      <c r="G775" s="2">
        <v>2</v>
      </c>
      <c r="H775" s="2">
        <v>2000</v>
      </c>
      <c r="I775" s="2">
        <v>0.1</v>
      </c>
      <c r="J775" s="3">
        <f t="shared" si="13"/>
        <v>3600</v>
      </c>
      <c r="K775" s="2" t="str">
        <f>TEXT(Table4[OrderDate], "mmmm")</f>
        <v>June</v>
      </c>
      <c r="L775" s="2">
        <f>IF(C775 = "", 0, IF(COUNTIF($C$2:C775, C775) = 1, 1, 0))</f>
        <v>0</v>
      </c>
    </row>
    <row r="776" spans="1:12" x14ac:dyDescent="0.25">
      <c r="A776" s="2">
        <v>1775</v>
      </c>
      <c r="B776" s="21" t="s">
        <v>26</v>
      </c>
      <c r="C776" s="2" t="s">
        <v>363</v>
      </c>
      <c r="D776" s="2" t="s">
        <v>378</v>
      </c>
      <c r="E776" s="2" t="s">
        <v>383</v>
      </c>
      <c r="F776" s="2" t="s">
        <v>390</v>
      </c>
      <c r="G776" s="2">
        <v>3</v>
      </c>
      <c r="H776" s="2">
        <v>1500</v>
      </c>
      <c r="I776" s="2">
        <v>0.15</v>
      </c>
      <c r="J776" s="3">
        <f t="shared" si="13"/>
        <v>3825</v>
      </c>
      <c r="K776" s="2" t="str">
        <f>TEXT(Table4[OrderDate], "mmmm")</f>
        <v>July</v>
      </c>
      <c r="L776" s="2">
        <f>IF(C776 = "", 0, IF(COUNTIF($C$2:C776, C776) = 1, 1, 0))</f>
        <v>0</v>
      </c>
    </row>
    <row r="777" spans="1:12" x14ac:dyDescent="0.25">
      <c r="A777" s="2">
        <v>1776</v>
      </c>
      <c r="B777" s="21" t="s">
        <v>334</v>
      </c>
      <c r="C777" s="2" t="s">
        <v>357</v>
      </c>
      <c r="D777" s="2" t="s">
        <v>379</v>
      </c>
      <c r="E777" s="2" t="s">
        <v>384</v>
      </c>
      <c r="F777" s="2" t="s">
        <v>389</v>
      </c>
      <c r="G777" s="2">
        <v>2</v>
      </c>
      <c r="H777" s="2">
        <v>30000</v>
      </c>
      <c r="I777" s="2">
        <v>0</v>
      </c>
      <c r="J777" s="3">
        <f t="shared" si="13"/>
        <v>60000</v>
      </c>
      <c r="K777" s="2" t="str">
        <f>TEXT(Table4[OrderDate], "mmmm")</f>
        <v>March</v>
      </c>
      <c r="L777" s="2">
        <f>IF(C777 = "", 0, IF(COUNTIF($C$2:C777, C777) = 1, 1, 0))</f>
        <v>0</v>
      </c>
    </row>
    <row r="778" spans="1:12" x14ac:dyDescent="0.25">
      <c r="A778" s="2">
        <v>1777</v>
      </c>
      <c r="B778" s="21" t="s">
        <v>229</v>
      </c>
      <c r="C778" s="2" t="s">
        <v>362</v>
      </c>
      <c r="D778" s="2" t="s">
        <v>377</v>
      </c>
      <c r="E778" s="2" t="s">
        <v>381</v>
      </c>
      <c r="F778" s="2" t="s">
        <v>389</v>
      </c>
      <c r="G778" s="2">
        <v>2</v>
      </c>
      <c r="H778" s="2">
        <v>20000</v>
      </c>
      <c r="I778" s="2">
        <v>0.05</v>
      </c>
      <c r="J778" s="3">
        <f t="shared" si="13"/>
        <v>38000</v>
      </c>
      <c r="K778" s="2" t="str">
        <f>TEXT(Table4[OrderDate], "mmmm")</f>
        <v>July</v>
      </c>
      <c r="L778" s="2">
        <f>IF(C778 = "", 0, IF(COUNTIF($C$2:C778, C778) = 1, 1, 0))</f>
        <v>0</v>
      </c>
    </row>
    <row r="779" spans="1:12" x14ac:dyDescent="0.25">
      <c r="A779" s="2">
        <v>1778</v>
      </c>
      <c r="B779" s="21" t="s">
        <v>117</v>
      </c>
      <c r="C779" s="2" t="s">
        <v>368</v>
      </c>
      <c r="D779" s="2" t="s">
        <v>377</v>
      </c>
      <c r="E779" s="2" t="s">
        <v>381</v>
      </c>
      <c r="F779" s="2" t="s">
        <v>389</v>
      </c>
      <c r="G779" s="2">
        <v>4</v>
      </c>
      <c r="H779" s="2">
        <v>20000</v>
      </c>
      <c r="I779" s="2">
        <v>0</v>
      </c>
      <c r="J779" s="3">
        <f t="shared" si="13"/>
        <v>80000</v>
      </c>
      <c r="K779" s="2" t="str">
        <f>TEXT(Table4[OrderDate], "mmmm")</f>
        <v>January</v>
      </c>
      <c r="L779" s="2">
        <f>IF(C779 = "", 0, IF(COUNTIF($C$2:C779, C779) = 1, 1, 0))</f>
        <v>0</v>
      </c>
    </row>
    <row r="780" spans="1:12" x14ac:dyDescent="0.25">
      <c r="A780" s="2">
        <v>1779</v>
      </c>
      <c r="B780" s="21" t="s">
        <v>33</v>
      </c>
      <c r="C780" s="2" t="s">
        <v>368</v>
      </c>
      <c r="D780" s="2" t="s">
        <v>379</v>
      </c>
      <c r="E780" s="2" t="s">
        <v>381</v>
      </c>
      <c r="F780" s="2" t="s">
        <v>389</v>
      </c>
      <c r="G780" s="2">
        <v>3</v>
      </c>
      <c r="H780" s="2">
        <v>20000</v>
      </c>
      <c r="I780" s="2">
        <v>0.05</v>
      </c>
      <c r="J780" s="3">
        <f t="shared" si="13"/>
        <v>57000</v>
      </c>
      <c r="K780" s="2" t="str">
        <f>TEXT(Table4[OrderDate], "mmmm")</f>
        <v>February</v>
      </c>
      <c r="L780" s="2">
        <f>IF(C780 = "", 0, IF(COUNTIF($C$2:C780, C780) = 1, 1, 0))</f>
        <v>0</v>
      </c>
    </row>
    <row r="781" spans="1:12" x14ac:dyDescent="0.25">
      <c r="A781" s="2">
        <v>1780</v>
      </c>
      <c r="B781" s="21" t="s">
        <v>171</v>
      </c>
      <c r="C781" s="2" t="s">
        <v>361</v>
      </c>
      <c r="D781" s="2" t="s">
        <v>373</v>
      </c>
      <c r="E781" s="2" t="s">
        <v>387</v>
      </c>
      <c r="F781" s="2" t="s">
        <v>391</v>
      </c>
      <c r="G781" s="2">
        <v>2</v>
      </c>
      <c r="H781" s="2">
        <v>3000</v>
      </c>
      <c r="I781" s="2">
        <v>0.1</v>
      </c>
      <c r="J781" s="3">
        <f t="shared" si="13"/>
        <v>5400</v>
      </c>
      <c r="K781" s="2" t="str">
        <f>TEXT(Table4[OrderDate], "mmmm")</f>
        <v>August</v>
      </c>
      <c r="L781" s="2">
        <f>IF(C781 = "", 0, IF(COUNTIF($C$2:C781, C781) = 1, 1, 0))</f>
        <v>0</v>
      </c>
    </row>
    <row r="782" spans="1:12" x14ac:dyDescent="0.25">
      <c r="A782" s="2">
        <v>1781</v>
      </c>
      <c r="B782" s="21" t="s">
        <v>53</v>
      </c>
      <c r="C782" s="2" t="s">
        <v>364</v>
      </c>
      <c r="D782" s="2" t="s">
        <v>376</v>
      </c>
      <c r="E782" s="2" t="s">
        <v>384</v>
      </c>
      <c r="F782" s="2" t="s">
        <v>389</v>
      </c>
      <c r="G782" s="2">
        <v>1</v>
      </c>
      <c r="H782" s="2">
        <v>30000</v>
      </c>
      <c r="I782" s="2">
        <v>0</v>
      </c>
      <c r="J782" s="3">
        <f t="shared" si="13"/>
        <v>30000</v>
      </c>
      <c r="K782" s="2" t="str">
        <f>TEXT(Table4[OrderDate], "mmmm")</f>
        <v>December</v>
      </c>
      <c r="L782" s="2">
        <f>IF(C782 = "", 0, IF(COUNTIF($C$2:C782, C782) = 1, 1, 0))</f>
        <v>0</v>
      </c>
    </row>
    <row r="783" spans="1:12" x14ac:dyDescent="0.25">
      <c r="A783" s="2">
        <v>1782</v>
      </c>
      <c r="B783" s="21" t="s">
        <v>80</v>
      </c>
      <c r="C783" s="2" t="s">
        <v>363</v>
      </c>
      <c r="D783" s="2" t="s">
        <v>373</v>
      </c>
      <c r="E783" s="2" t="s">
        <v>388</v>
      </c>
      <c r="F783" s="2" t="s">
        <v>389</v>
      </c>
      <c r="G783" s="2">
        <v>4</v>
      </c>
      <c r="H783" s="2">
        <v>12000</v>
      </c>
      <c r="I783" s="2">
        <v>0.1</v>
      </c>
      <c r="J783" s="3">
        <f t="shared" si="13"/>
        <v>43200</v>
      </c>
      <c r="K783" s="2" t="str">
        <f>TEXT(Table4[OrderDate], "mmmm")</f>
        <v>October</v>
      </c>
      <c r="L783" s="2">
        <f>IF(C783 = "", 0, IF(COUNTIF($C$2:C783, C783) = 1, 1, 0))</f>
        <v>0</v>
      </c>
    </row>
    <row r="784" spans="1:12" x14ac:dyDescent="0.25">
      <c r="A784" s="2">
        <v>1372</v>
      </c>
      <c r="B784" s="21" t="s">
        <v>246</v>
      </c>
      <c r="C784" s="2" t="s">
        <v>368</v>
      </c>
      <c r="D784" s="2" t="s">
        <v>380</v>
      </c>
      <c r="E784" s="2" t="s">
        <v>387</v>
      </c>
      <c r="F784" s="2" t="s">
        <v>391</v>
      </c>
      <c r="G784" s="2">
        <v>5</v>
      </c>
      <c r="H784" s="2">
        <v>3000</v>
      </c>
      <c r="I784" s="2">
        <v>0.1</v>
      </c>
      <c r="J784" s="3">
        <f t="shared" si="13"/>
        <v>13500</v>
      </c>
      <c r="K784" s="2" t="str">
        <f>TEXT(Table4[OrderDate], "mmmm")</f>
        <v>May</v>
      </c>
      <c r="L784" s="2">
        <f>IF(C784 = "", 0, IF(COUNTIF($C$2:C784, C784) = 1, 1, 0))</f>
        <v>0</v>
      </c>
    </row>
    <row r="785" spans="1:12" x14ac:dyDescent="0.25">
      <c r="A785" s="2">
        <v>1784</v>
      </c>
      <c r="B785" s="21" t="s">
        <v>335</v>
      </c>
      <c r="C785" s="2" t="s">
        <v>363</v>
      </c>
      <c r="D785" s="2" t="s">
        <v>379</v>
      </c>
      <c r="E785" s="2" t="s">
        <v>385</v>
      </c>
      <c r="F785" s="2" t="s">
        <v>390</v>
      </c>
      <c r="G785" s="2">
        <v>4</v>
      </c>
      <c r="H785" s="2">
        <v>2000</v>
      </c>
      <c r="I785" s="2">
        <v>0.05</v>
      </c>
      <c r="J785" s="3">
        <f t="shared" si="13"/>
        <v>7600</v>
      </c>
      <c r="K785" s="2" t="str">
        <f>TEXT(Table4[OrderDate], "mmmm")</f>
        <v>February</v>
      </c>
      <c r="L785" s="2">
        <f>IF(C785 = "", 0, IF(COUNTIF($C$2:C785, C785) = 1, 1, 0))</f>
        <v>0</v>
      </c>
    </row>
    <row r="786" spans="1:12" x14ac:dyDescent="0.25">
      <c r="A786" s="2">
        <v>1785</v>
      </c>
      <c r="B786" s="21" t="s">
        <v>336</v>
      </c>
      <c r="C786" s="2" t="s">
        <v>370</v>
      </c>
      <c r="D786" s="2" t="s">
        <v>374</v>
      </c>
      <c r="E786" s="2" t="s">
        <v>385</v>
      </c>
      <c r="F786" s="2" t="s">
        <v>390</v>
      </c>
      <c r="G786" s="2">
        <v>4</v>
      </c>
      <c r="H786" s="2">
        <v>2000</v>
      </c>
      <c r="I786" s="2">
        <v>0.1</v>
      </c>
      <c r="J786" s="3">
        <f t="shared" si="13"/>
        <v>7200</v>
      </c>
      <c r="K786" s="2" t="str">
        <f>TEXT(Table4[OrderDate], "mmmm")</f>
        <v>March</v>
      </c>
      <c r="L786" s="2">
        <f>IF(C786 = "", 0, IF(COUNTIF($C$2:C786, C786) = 1, 1, 0))</f>
        <v>0</v>
      </c>
    </row>
    <row r="787" spans="1:12" x14ac:dyDescent="0.25">
      <c r="A787" s="2">
        <v>1527</v>
      </c>
      <c r="B787" s="21" t="s">
        <v>293</v>
      </c>
      <c r="C787" s="2" t="s">
        <v>364</v>
      </c>
      <c r="D787" s="2" t="s">
        <v>374</v>
      </c>
      <c r="E787" s="2" t="s">
        <v>387</v>
      </c>
      <c r="F787" s="2" t="s">
        <v>391</v>
      </c>
      <c r="G787" s="2">
        <v>5</v>
      </c>
      <c r="H787" s="2">
        <v>3000</v>
      </c>
      <c r="I787" s="2">
        <v>0.1</v>
      </c>
      <c r="J787" s="3">
        <f t="shared" si="13"/>
        <v>13500</v>
      </c>
      <c r="K787" s="2" t="str">
        <f>TEXT(Table4[OrderDate], "mmmm")</f>
        <v>December</v>
      </c>
      <c r="L787" s="2">
        <f>IF(C787 = "", 0, IF(COUNTIF($C$2:C787, C787) = 1, 1, 0))</f>
        <v>0</v>
      </c>
    </row>
    <row r="788" spans="1:12" x14ac:dyDescent="0.25">
      <c r="A788" s="2">
        <v>1787</v>
      </c>
      <c r="B788" s="21" t="s">
        <v>261</v>
      </c>
      <c r="C788" s="2" t="s">
        <v>359</v>
      </c>
      <c r="D788" s="2" t="s">
        <v>378</v>
      </c>
      <c r="E788" s="2" t="s">
        <v>382</v>
      </c>
      <c r="F788" s="2" t="s">
        <v>389</v>
      </c>
      <c r="G788" s="2">
        <v>4</v>
      </c>
      <c r="H788" s="2">
        <v>50000</v>
      </c>
      <c r="I788" s="2">
        <v>0.15</v>
      </c>
      <c r="J788" s="3">
        <f t="shared" si="13"/>
        <v>170000</v>
      </c>
      <c r="K788" s="2" t="str">
        <f>TEXT(Table4[OrderDate], "mmmm")</f>
        <v>June</v>
      </c>
      <c r="L788" s="2">
        <f>IF(C788 = "", 0, IF(COUNTIF($C$2:C788, C788) = 1, 1, 0))</f>
        <v>0</v>
      </c>
    </row>
    <row r="789" spans="1:12" x14ac:dyDescent="0.25">
      <c r="A789" s="2">
        <v>1659</v>
      </c>
      <c r="B789" s="21" t="s">
        <v>321</v>
      </c>
      <c r="C789" s="2" t="s">
        <v>372</v>
      </c>
      <c r="D789" s="2" t="s">
        <v>378</v>
      </c>
      <c r="E789" s="2" t="s">
        <v>387</v>
      </c>
      <c r="F789" s="2" t="s">
        <v>391</v>
      </c>
      <c r="G789" s="2">
        <v>5</v>
      </c>
      <c r="H789" s="2">
        <v>3000</v>
      </c>
      <c r="I789" s="2">
        <v>0.1</v>
      </c>
      <c r="J789" s="3">
        <f t="shared" si="13"/>
        <v>13500</v>
      </c>
      <c r="K789" s="2" t="str">
        <f>TEXT(Table4[OrderDate], "mmmm")</f>
        <v>December</v>
      </c>
      <c r="L789" s="2">
        <f>IF(C789 = "", 0, IF(COUNTIF($C$2:C789, C789) = 1, 1, 0))</f>
        <v>0</v>
      </c>
    </row>
    <row r="790" spans="1:12" x14ac:dyDescent="0.25">
      <c r="A790" s="2">
        <v>1791</v>
      </c>
      <c r="B790" s="21" t="s">
        <v>338</v>
      </c>
      <c r="C790" s="2" t="s">
        <v>360</v>
      </c>
      <c r="D790" s="2" t="s">
        <v>378</v>
      </c>
      <c r="E790" s="2" t="s">
        <v>387</v>
      </c>
      <c r="F790" s="2" t="s">
        <v>391</v>
      </c>
      <c r="G790" s="2">
        <v>5</v>
      </c>
      <c r="H790" s="2">
        <v>3000</v>
      </c>
      <c r="I790" s="2">
        <v>0.1</v>
      </c>
      <c r="J790" s="3">
        <f t="shared" si="13"/>
        <v>13500</v>
      </c>
      <c r="K790" s="2" t="str">
        <f>TEXT(Table4[OrderDate], "mmmm")</f>
        <v>May</v>
      </c>
      <c r="L790" s="2">
        <f>IF(C790 = "", 0, IF(COUNTIF($C$2:C790, C790) = 1, 1, 0))</f>
        <v>0</v>
      </c>
    </row>
    <row r="791" spans="1:12" x14ac:dyDescent="0.25">
      <c r="A791" s="2">
        <v>1790</v>
      </c>
      <c r="B791" s="21" t="s">
        <v>274</v>
      </c>
      <c r="C791" s="2" t="s">
        <v>365</v>
      </c>
      <c r="D791" s="2" t="s">
        <v>378</v>
      </c>
      <c r="E791" s="2" t="s">
        <v>383</v>
      </c>
      <c r="F791" s="2" t="s">
        <v>390</v>
      </c>
      <c r="G791" s="2">
        <v>4</v>
      </c>
      <c r="H791" s="2">
        <v>1500</v>
      </c>
      <c r="I791" s="2">
        <v>0.05</v>
      </c>
      <c r="J791" s="3">
        <f t="shared" si="13"/>
        <v>5700</v>
      </c>
      <c r="K791" s="2" t="str">
        <f>TEXT(Table4[OrderDate], "mmmm")</f>
        <v>May</v>
      </c>
      <c r="L791" s="2">
        <f>IF(C791 = "", 0, IF(COUNTIF($C$2:C791, C791) = 1, 1, 0))</f>
        <v>0</v>
      </c>
    </row>
    <row r="792" spans="1:12" x14ac:dyDescent="0.25">
      <c r="A792" s="2">
        <v>1860</v>
      </c>
      <c r="B792" s="21" t="s">
        <v>120</v>
      </c>
      <c r="C792" s="2" t="s">
        <v>367</v>
      </c>
      <c r="D792" s="2" t="s">
        <v>378</v>
      </c>
      <c r="E792" s="2" t="s">
        <v>387</v>
      </c>
      <c r="F792" s="2" t="s">
        <v>391</v>
      </c>
      <c r="G792" s="2">
        <v>5</v>
      </c>
      <c r="H792" s="2">
        <v>3000</v>
      </c>
      <c r="I792" s="2">
        <v>0.1</v>
      </c>
      <c r="J792" s="3">
        <f t="shared" si="13"/>
        <v>13500</v>
      </c>
      <c r="K792" s="2" t="str">
        <f>TEXT(Table4[OrderDate], "mmmm")</f>
        <v>June</v>
      </c>
      <c r="L792" s="2">
        <f>IF(C792 = "", 0, IF(COUNTIF($C$2:C792, C792) = 1, 1, 0))</f>
        <v>0</v>
      </c>
    </row>
    <row r="793" spans="1:12" x14ac:dyDescent="0.25">
      <c r="A793" s="2">
        <v>1792</v>
      </c>
      <c r="B793" s="21" t="s">
        <v>199</v>
      </c>
      <c r="C793" s="2" t="s">
        <v>370</v>
      </c>
      <c r="D793" s="2" t="s">
        <v>377</v>
      </c>
      <c r="E793" s="2" t="s">
        <v>387</v>
      </c>
      <c r="F793" s="2" t="s">
        <v>391</v>
      </c>
      <c r="G793" s="2">
        <v>1</v>
      </c>
      <c r="H793" s="2">
        <v>3000</v>
      </c>
      <c r="I793" s="2">
        <v>0.05</v>
      </c>
      <c r="J793" s="3">
        <f t="shared" si="13"/>
        <v>2850</v>
      </c>
      <c r="K793" s="2" t="str">
        <f>TEXT(Table4[OrderDate], "mmmm")</f>
        <v>March</v>
      </c>
      <c r="L793" s="2">
        <f>IF(C793 = "", 0, IF(COUNTIF($C$2:C793, C793) = 1, 1, 0))</f>
        <v>0</v>
      </c>
    </row>
    <row r="794" spans="1:12" x14ac:dyDescent="0.25">
      <c r="A794" s="2">
        <v>1149</v>
      </c>
      <c r="B794" s="21" t="s">
        <v>12</v>
      </c>
      <c r="C794" s="2" t="s">
        <v>358</v>
      </c>
      <c r="D794" s="2" t="s">
        <v>374</v>
      </c>
      <c r="E794" s="2" t="s">
        <v>387</v>
      </c>
      <c r="F794" s="2" t="s">
        <v>391</v>
      </c>
      <c r="G794" s="2">
        <v>5</v>
      </c>
      <c r="H794" s="2">
        <v>3000</v>
      </c>
      <c r="I794" s="2">
        <v>0.15</v>
      </c>
      <c r="J794" s="3">
        <f t="shared" si="13"/>
        <v>12750</v>
      </c>
      <c r="K794" s="2" t="str">
        <f>TEXT(Table4[OrderDate], "mmmm")</f>
        <v>April</v>
      </c>
      <c r="L794" s="2">
        <f>IF(C794 = "", 0, IF(COUNTIF($C$2:C794, C794) = 1, 1, 0))</f>
        <v>0</v>
      </c>
    </row>
    <row r="795" spans="1:12" x14ac:dyDescent="0.25">
      <c r="A795" s="2">
        <v>1794</v>
      </c>
      <c r="B795" s="21" t="s">
        <v>46</v>
      </c>
      <c r="C795" s="2" t="s">
        <v>359</v>
      </c>
      <c r="D795" s="2" t="s">
        <v>373</v>
      </c>
      <c r="E795" s="2" t="s">
        <v>385</v>
      </c>
      <c r="F795" s="2" t="s">
        <v>390</v>
      </c>
      <c r="G795" s="2">
        <v>1</v>
      </c>
      <c r="H795" s="2">
        <v>2000</v>
      </c>
      <c r="I795" s="2">
        <v>0.05</v>
      </c>
      <c r="J795" s="3">
        <f t="shared" si="13"/>
        <v>1900</v>
      </c>
      <c r="K795" s="2" t="str">
        <f>TEXT(Table4[OrderDate], "mmmm")</f>
        <v>January</v>
      </c>
      <c r="L795" s="2">
        <f>IF(C795 = "", 0, IF(COUNTIF($C$2:C795, C795) = 1, 1, 0))</f>
        <v>0</v>
      </c>
    </row>
    <row r="796" spans="1:12" x14ac:dyDescent="0.25">
      <c r="A796" s="2">
        <v>1795</v>
      </c>
      <c r="B796" s="21" t="s">
        <v>334</v>
      </c>
      <c r="C796" s="2" t="s">
        <v>363</v>
      </c>
      <c r="D796" s="2" t="s">
        <v>374</v>
      </c>
      <c r="E796" s="2" t="s">
        <v>381</v>
      </c>
      <c r="F796" s="2" t="s">
        <v>389</v>
      </c>
      <c r="G796" s="2">
        <v>3</v>
      </c>
      <c r="H796" s="2">
        <v>20000</v>
      </c>
      <c r="I796" s="2">
        <v>0.1</v>
      </c>
      <c r="J796" s="3">
        <f t="shared" si="13"/>
        <v>54000</v>
      </c>
      <c r="K796" s="2" t="str">
        <f>TEXT(Table4[OrderDate], "mmmm")</f>
        <v>March</v>
      </c>
      <c r="L796" s="2">
        <f>IF(C796 = "", 0, IF(COUNTIF($C$2:C796, C796) = 1, 1, 0))</f>
        <v>0</v>
      </c>
    </row>
    <row r="797" spans="1:12" x14ac:dyDescent="0.25">
      <c r="A797" s="2">
        <v>1796</v>
      </c>
      <c r="B797" s="21" t="s">
        <v>156</v>
      </c>
      <c r="C797" s="2" t="s">
        <v>367</v>
      </c>
      <c r="D797" s="2" t="s">
        <v>375</v>
      </c>
      <c r="E797" s="2" t="s">
        <v>387</v>
      </c>
      <c r="F797" s="2" t="s">
        <v>391</v>
      </c>
      <c r="G797" s="2">
        <v>1</v>
      </c>
      <c r="H797" s="2">
        <v>3000</v>
      </c>
      <c r="I797" s="2">
        <v>0.05</v>
      </c>
      <c r="J797" s="3">
        <f t="shared" si="13"/>
        <v>2850</v>
      </c>
      <c r="K797" s="2" t="str">
        <f>TEXT(Table4[OrderDate], "mmmm")</f>
        <v>January</v>
      </c>
      <c r="L797" s="2">
        <f>IF(C797 = "", 0, IF(COUNTIF($C$2:C797, C797) = 1, 1, 0))</f>
        <v>0</v>
      </c>
    </row>
    <row r="798" spans="1:12" x14ac:dyDescent="0.25">
      <c r="A798" s="2">
        <v>1797</v>
      </c>
      <c r="B798" s="21" t="s">
        <v>205</v>
      </c>
      <c r="C798" s="2" t="s">
        <v>364</v>
      </c>
      <c r="D798" s="2" t="s">
        <v>380</v>
      </c>
      <c r="E798" s="2" t="s">
        <v>385</v>
      </c>
      <c r="F798" s="2" t="s">
        <v>390</v>
      </c>
      <c r="G798" s="2">
        <v>4</v>
      </c>
      <c r="H798" s="2">
        <v>2000</v>
      </c>
      <c r="I798" s="2">
        <v>0.1</v>
      </c>
      <c r="J798" s="3">
        <f t="shared" si="13"/>
        <v>7200</v>
      </c>
      <c r="K798" s="2" t="str">
        <f>TEXT(Table4[OrderDate], "mmmm")</f>
        <v>September</v>
      </c>
      <c r="L798" s="2">
        <f>IF(C798 = "", 0, IF(COUNTIF($C$2:C798, C798) = 1, 1, 0))</f>
        <v>0</v>
      </c>
    </row>
    <row r="799" spans="1:12" x14ac:dyDescent="0.25">
      <c r="A799" s="2">
        <v>1798</v>
      </c>
      <c r="B799" s="21" t="s">
        <v>249</v>
      </c>
      <c r="C799" s="2" t="s">
        <v>372</v>
      </c>
      <c r="D799" s="2" t="s">
        <v>379</v>
      </c>
      <c r="E799" s="2" t="s">
        <v>382</v>
      </c>
      <c r="F799" s="2" t="s">
        <v>389</v>
      </c>
      <c r="G799" s="2">
        <v>3</v>
      </c>
      <c r="H799" s="2">
        <v>50000</v>
      </c>
      <c r="I799" s="2">
        <v>0</v>
      </c>
      <c r="J799" s="3">
        <f t="shared" si="13"/>
        <v>150000</v>
      </c>
      <c r="K799" s="2" t="str">
        <f>TEXT(Table4[OrderDate], "mmmm")</f>
        <v>March</v>
      </c>
      <c r="L799" s="2">
        <f>IF(C799 = "", 0, IF(COUNTIF($C$2:C799, C799) = 1, 1, 0))</f>
        <v>0</v>
      </c>
    </row>
    <row r="800" spans="1:12" x14ac:dyDescent="0.25">
      <c r="A800" s="2">
        <v>1799</v>
      </c>
      <c r="B800" s="21" t="s">
        <v>291</v>
      </c>
      <c r="C800" s="2" t="s">
        <v>371</v>
      </c>
      <c r="D800" s="2" t="s">
        <v>379</v>
      </c>
      <c r="E800" s="2" t="s">
        <v>383</v>
      </c>
      <c r="F800" s="2" t="s">
        <v>390</v>
      </c>
      <c r="G800" s="2">
        <v>1</v>
      </c>
      <c r="H800" s="2">
        <v>1500</v>
      </c>
      <c r="I800" s="2">
        <v>0.15</v>
      </c>
      <c r="J800" s="3">
        <f t="shared" si="13"/>
        <v>1275</v>
      </c>
      <c r="K800" s="2" t="str">
        <f>TEXT(Table4[OrderDate], "mmmm")</f>
        <v>April</v>
      </c>
      <c r="L800" s="2">
        <f>IF(C800 = "", 0, IF(COUNTIF($C$2:C800, C800) = 1, 1, 0))</f>
        <v>0</v>
      </c>
    </row>
    <row r="801" spans="1:12" x14ac:dyDescent="0.25">
      <c r="A801" s="2">
        <v>1800</v>
      </c>
      <c r="B801" s="21" t="s">
        <v>41</v>
      </c>
      <c r="C801" s="2" t="s">
        <v>368</v>
      </c>
      <c r="D801" s="2" t="s">
        <v>380</v>
      </c>
      <c r="E801" s="2" t="s">
        <v>383</v>
      </c>
      <c r="F801" s="2" t="s">
        <v>390</v>
      </c>
      <c r="G801" s="2">
        <v>1</v>
      </c>
      <c r="H801" s="2">
        <v>1500</v>
      </c>
      <c r="I801" s="2">
        <v>0</v>
      </c>
      <c r="J801" s="3">
        <f t="shared" si="13"/>
        <v>1500</v>
      </c>
      <c r="K801" s="2" t="str">
        <f>TEXT(Table4[OrderDate], "mmmm")</f>
        <v>May</v>
      </c>
      <c r="L801" s="2">
        <f>IF(C801 = "", 0, IF(COUNTIF($C$2:C801, C801) = 1, 1, 0))</f>
        <v>0</v>
      </c>
    </row>
    <row r="802" spans="1:12" x14ac:dyDescent="0.25">
      <c r="A802" s="2">
        <v>1801</v>
      </c>
      <c r="B802" s="21" t="s">
        <v>316</v>
      </c>
      <c r="C802" s="2" t="s">
        <v>362</v>
      </c>
      <c r="D802" s="2" t="s">
        <v>375</v>
      </c>
      <c r="E802" s="2" t="s">
        <v>387</v>
      </c>
      <c r="F802" s="2" t="s">
        <v>391</v>
      </c>
      <c r="G802" s="2">
        <v>1</v>
      </c>
      <c r="H802" s="2">
        <v>3000</v>
      </c>
      <c r="I802" s="2">
        <v>0.05</v>
      </c>
      <c r="J802" s="3">
        <f t="shared" si="13"/>
        <v>2850</v>
      </c>
      <c r="K802" s="2" t="str">
        <f>TEXT(Table4[OrderDate], "mmmm")</f>
        <v>August</v>
      </c>
      <c r="L802" s="2">
        <f>IF(C802 = "", 0, IF(COUNTIF($C$2:C802, C802) = 1, 1, 0))</f>
        <v>0</v>
      </c>
    </row>
    <row r="803" spans="1:12" x14ac:dyDescent="0.25">
      <c r="A803" s="2">
        <v>1802</v>
      </c>
      <c r="B803" s="21" t="s">
        <v>231</v>
      </c>
      <c r="C803" s="2" t="s">
        <v>369</v>
      </c>
      <c r="D803" s="2" t="s">
        <v>374</v>
      </c>
      <c r="E803" s="2" t="s">
        <v>388</v>
      </c>
      <c r="F803" s="2" t="s">
        <v>389</v>
      </c>
      <c r="G803" s="2">
        <v>4</v>
      </c>
      <c r="H803" s="2">
        <v>12000</v>
      </c>
      <c r="I803" s="2">
        <v>0.1</v>
      </c>
      <c r="J803" s="3">
        <f t="shared" si="13"/>
        <v>43200</v>
      </c>
      <c r="K803" s="2" t="str">
        <f>TEXT(Table4[OrderDate], "mmmm")</f>
        <v>June</v>
      </c>
      <c r="L803" s="2">
        <f>IF(C803 = "", 0, IF(COUNTIF($C$2:C803, C803) = 1, 1, 0))</f>
        <v>0</v>
      </c>
    </row>
    <row r="804" spans="1:12" x14ac:dyDescent="0.25">
      <c r="A804" s="2">
        <v>1803</v>
      </c>
      <c r="B804" s="21" t="s">
        <v>147</v>
      </c>
      <c r="C804" s="2" t="s">
        <v>370</v>
      </c>
      <c r="D804" s="2" t="s">
        <v>375</v>
      </c>
      <c r="E804" s="2" t="s">
        <v>381</v>
      </c>
      <c r="F804" s="2" t="s">
        <v>389</v>
      </c>
      <c r="G804" s="2">
        <v>3</v>
      </c>
      <c r="H804" s="2">
        <v>20000</v>
      </c>
      <c r="I804" s="2">
        <v>0.15</v>
      </c>
      <c r="J804" s="3">
        <f t="shared" si="13"/>
        <v>51000</v>
      </c>
      <c r="K804" s="2" t="str">
        <f>TEXT(Table4[OrderDate], "mmmm")</f>
        <v>November</v>
      </c>
      <c r="L804" s="2">
        <f>IF(C804 = "", 0, IF(COUNTIF($C$2:C804, C804) = 1, 1, 0))</f>
        <v>0</v>
      </c>
    </row>
    <row r="805" spans="1:12" x14ac:dyDescent="0.25">
      <c r="A805" s="2">
        <v>1804</v>
      </c>
      <c r="B805" s="21" t="s">
        <v>301</v>
      </c>
      <c r="C805" s="2" t="s">
        <v>357</v>
      </c>
      <c r="D805" s="2" t="s">
        <v>378</v>
      </c>
      <c r="E805" s="2" t="s">
        <v>385</v>
      </c>
      <c r="F805" s="2" t="s">
        <v>390</v>
      </c>
      <c r="G805" s="2">
        <v>1</v>
      </c>
      <c r="H805" s="2">
        <v>2000</v>
      </c>
      <c r="I805" s="2">
        <v>0.05</v>
      </c>
      <c r="J805" s="3">
        <f t="shared" si="13"/>
        <v>1900</v>
      </c>
      <c r="K805" s="2" t="str">
        <f>TEXT(Table4[OrderDate], "mmmm")</f>
        <v>February</v>
      </c>
      <c r="L805" s="2">
        <f>IF(C805 = "", 0, IF(COUNTIF($C$2:C805, C805) = 1, 1, 0))</f>
        <v>0</v>
      </c>
    </row>
    <row r="806" spans="1:12" x14ac:dyDescent="0.25">
      <c r="A806" s="2">
        <v>1805</v>
      </c>
      <c r="B806" s="21" t="s">
        <v>153</v>
      </c>
      <c r="C806" s="2" t="s">
        <v>362</v>
      </c>
      <c r="D806" s="2" t="s">
        <v>378</v>
      </c>
      <c r="E806" s="2" t="s">
        <v>385</v>
      </c>
      <c r="F806" s="2" t="s">
        <v>390</v>
      </c>
      <c r="G806" s="2">
        <v>1</v>
      </c>
      <c r="H806" s="2">
        <v>2000</v>
      </c>
      <c r="I806" s="2">
        <v>0.05</v>
      </c>
      <c r="J806" s="3">
        <f t="shared" si="13"/>
        <v>1900</v>
      </c>
      <c r="K806" s="2" t="str">
        <f>TEXT(Table4[OrderDate], "mmmm")</f>
        <v>May</v>
      </c>
      <c r="L806" s="2">
        <f>IF(C806 = "", 0, IF(COUNTIF($C$2:C806, C806) = 1, 1, 0))</f>
        <v>0</v>
      </c>
    </row>
    <row r="807" spans="1:12" x14ac:dyDescent="0.25">
      <c r="A807" s="2">
        <v>1806</v>
      </c>
      <c r="B807" s="21" t="s">
        <v>278</v>
      </c>
      <c r="C807" s="2" t="s">
        <v>367</v>
      </c>
      <c r="D807" s="2" t="s">
        <v>373</v>
      </c>
      <c r="E807" s="2" t="s">
        <v>387</v>
      </c>
      <c r="F807" s="2" t="s">
        <v>391</v>
      </c>
      <c r="G807" s="2">
        <v>1</v>
      </c>
      <c r="H807" s="2">
        <v>3000</v>
      </c>
      <c r="I807" s="2">
        <v>0</v>
      </c>
      <c r="J807" s="3">
        <f t="shared" si="13"/>
        <v>3000</v>
      </c>
      <c r="K807" s="2" t="str">
        <f>TEXT(Table4[OrderDate], "mmmm")</f>
        <v>October</v>
      </c>
      <c r="L807" s="2">
        <f>IF(C807 = "", 0, IF(COUNTIF($C$2:C807, C807) = 1, 1, 0))</f>
        <v>0</v>
      </c>
    </row>
    <row r="808" spans="1:12" x14ac:dyDescent="0.25">
      <c r="A808" s="2">
        <v>1807</v>
      </c>
      <c r="B808" s="21" t="s">
        <v>52</v>
      </c>
      <c r="C808" s="2" t="s">
        <v>367</v>
      </c>
      <c r="D808" s="2" t="s">
        <v>377</v>
      </c>
      <c r="E808" s="2" t="s">
        <v>385</v>
      </c>
      <c r="F808" s="2" t="s">
        <v>390</v>
      </c>
      <c r="G808" s="2">
        <v>1</v>
      </c>
      <c r="H808" s="2">
        <v>2000</v>
      </c>
      <c r="I808" s="2">
        <v>0.05</v>
      </c>
      <c r="J808" s="3">
        <f t="shared" si="13"/>
        <v>1900</v>
      </c>
      <c r="K808" s="2" t="str">
        <f>TEXT(Table4[OrderDate], "mmmm")</f>
        <v>March</v>
      </c>
      <c r="L808" s="2">
        <f>IF(C808 = "", 0, IF(COUNTIF($C$2:C808, C808) = 1, 1, 0))</f>
        <v>0</v>
      </c>
    </row>
    <row r="809" spans="1:12" x14ac:dyDescent="0.25">
      <c r="A809" s="2">
        <v>1808</v>
      </c>
      <c r="B809" s="21" t="s">
        <v>201</v>
      </c>
      <c r="C809" s="2" t="s">
        <v>361</v>
      </c>
      <c r="D809" s="2" t="s">
        <v>377</v>
      </c>
      <c r="E809" s="2" t="s">
        <v>385</v>
      </c>
      <c r="F809" s="2" t="s">
        <v>390</v>
      </c>
      <c r="G809" s="2">
        <v>1</v>
      </c>
      <c r="H809" s="2">
        <v>2000</v>
      </c>
      <c r="I809" s="2">
        <v>0</v>
      </c>
      <c r="J809" s="3">
        <f t="shared" si="13"/>
        <v>2000</v>
      </c>
      <c r="K809" s="2" t="str">
        <f>TEXT(Table4[OrderDate], "mmmm")</f>
        <v>July</v>
      </c>
      <c r="L809" s="2">
        <f>IF(C809 = "", 0, IF(COUNTIF($C$2:C809, C809) = 1, 1, 0))</f>
        <v>0</v>
      </c>
    </row>
    <row r="810" spans="1:12" x14ac:dyDescent="0.25">
      <c r="A810" s="2">
        <v>1809</v>
      </c>
      <c r="B810" s="21" t="s">
        <v>131</v>
      </c>
      <c r="C810" s="2" t="s">
        <v>364</v>
      </c>
      <c r="D810" s="2" t="s">
        <v>380</v>
      </c>
      <c r="E810" s="2" t="s">
        <v>384</v>
      </c>
      <c r="F810" s="2" t="s">
        <v>389</v>
      </c>
      <c r="G810" s="2">
        <v>4</v>
      </c>
      <c r="H810" s="2">
        <v>30000</v>
      </c>
      <c r="I810" s="2">
        <v>0.05</v>
      </c>
      <c r="J810" s="3">
        <f t="shared" si="13"/>
        <v>114000</v>
      </c>
      <c r="K810" s="2" t="str">
        <f>TEXT(Table4[OrderDate], "mmmm")</f>
        <v>June</v>
      </c>
      <c r="L810" s="2">
        <f>IF(C810 = "", 0, IF(COUNTIF($C$2:C810, C810) = 1, 1, 0))</f>
        <v>0</v>
      </c>
    </row>
    <row r="811" spans="1:12" x14ac:dyDescent="0.25">
      <c r="A811" s="2">
        <v>1810</v>
      </c>
      <c r="B811" s="21" t="s">
        <v>339</v>
      </c>
      <c r="C811" s="2" t="s">
        <v>361</v>
      </c>
      <c r="D811" s="2" t="s">
        <v>379</v>
      </c>
      <c r="E811" s="2" t="s">
        <v>387</v>
      </c>
      <c r="F811" s="2" t="s">
        <v>391</v>
      </c>
      <c r="G811" s="2">
        <v>1</v>
      </c>
      <c r="H811" s="2">
        <v>3000</v>
      </c>
      <c r="I811" s="2">
        <v>0.15</v>
      </c>
      <c r="J811" s="3">
        <f t="shared" si="13"/>
        <v>2550</v>
      </c>
      <c r="K811" s="2" t="str">
        <f>TEXT(Table4[OrderDate], "mmmm")</f>
        <v>July</v>
      </c>
      <c r="L811" s="2">
        <f>IF(C811 = "", 0, IF(COUNTIF($C$2:C811, C811) = 1, 1, 0))</f>
        <v>0</v>
      </c>
    </row>
    <row r="812" spans="1:12" x14ac:dyDescent="0.25">
      <c r="A812" s="2">
        <v>1811</v>
      </c>
      <c r="B812" s="21" t="s">
        <v>236</v>
      </c>
      <c r="C812" s="2" t="s">
        <v>370</v>
      </c>
      <c r="D812" s="2" t="s">
        <v>380</v>
      </c>
      <c r="E812" s="2" t="s">
        <v>382</v>
      </c>
      <c r="F812" s="2" t="s">
        <v>389</v>
      </c>
      <c r="G812" s="2">
        <v>4</v>
      </c>
      <c r="H812" s="2">
        <v>50000</v>
      </c>
      <c r="I812" s="2">
        <v>0.15</v>
      </c>
      <c r="J812" s="3">
        <f t="shared" si="13"/>
        <v>170000</v>
      </c>
      <c r="K812" s="2" t="str">
        <f>TEXT(Table4[OrderDate], "mmmm")</f>
        <v>October</v>
      </c>
      <c r="L812" s="2">
        <f>IF(C812 = "", 0, IF(COUNTIF($C$2:C812, C812) = 1, 1, 0))</f>
        <v>0</v>
      </c>
    </row>
    <row r="813" spans="1:12" x14ac:dyDescent="0.25">
      <c r="A813" s="2">
        <v>1733</v>
      </c>
      <c r="B813" s="21" t="s">
        <v>144</v>
      </c>
      <c r="C813" s="2" t="s">
        <v>372</v>
      </c>
      <c r="D813" s="2" t="s">
        <v>373</v>
      </c>
      <c r="E813" s="2" t="s">
        <v>387</v>
      </c>
      <c r="F813" s="2" t="s">
        <v>391</v>
      </c>
      <c r="G813" s="2">
        <v>5</v>
      </c>
      <c r="H813" s="2">
        <v>3000</v>
      </c>
      <c r="I813" s="2">
        <v>0.15</v>
      </c>
      <c r="J813" s="3">
        <f t="shared" si="13"/>
        <v>12750</v>
      </c>
      <c r="K813" s="2" t="str">
        <f>TEXT(Table4[OrderDate], "mmmm")</f>
        <v>June</v>
      </c>
      <c r="L813" s="2">
        <f>IF(C813 = "", 0, IF(COUNTIF($C$2:C813, C813) = 1, 1, 0))</f>
        <v>0</v>
      </c>
    </row>
    <row r="814" spans="1:12" x14ac:dyDescent="0.25">
      <c r="A814" s="2">
        <v>1813</v>
      </c>
      <c r="B814" s="21" t="s">
        <v>66</v>
      </c>
      <c r="C814" s="2" t="s">
        <v>361</v>
      </c>
      <c r="D814" s="2" t="s">
        <v>380</v>
      </c>
      <c r="E814" s="2" t="s">
        <v>388</v>
      </c>
      <c r="F814" s="2" t="s">
        <v>389</v>
      </c>
      <c r="G814" s="2">
        <v>3</v>
      </c>
      <c r="H814" s="2">
        <v>12000</v>
      </c>
      <c r="I814" s="2">
        <v>0.05</v>
      </c>
      <c r="J814" s="3">
        <f t="shared" si="13"/>
        <v>34200</v>
      </c>
      <c r="K814" s="2" t="str">
        <f>TEXT(Table4[OrderDate], "mmmm")</f>
        <v>February</v>
      </c>
      <c r="L814" s="2">
        <f>IF(C814 = "", 0, IF(COUNTIF($C$2:C814, C814) = 1, 1, 0))</f>
        <v>0</v>
      </c>
    </row>
    <row r="815" spans="1:12" x14ac:dyDescent="0.25">
      <c r="A815" s="2">
        <v>1814</v>
      </c>
      <c r="B815" s="21" t="s">
        <v>19</v>
      </c>
      <c r="C815" s="2" t="s">
        <v>359</v>
      </c>
      <c r="D815" s="2" t="s">
        <v>378</v>
      </c>
      <c r="E815" s="2" t="s">
        <v>386</v>
      </c>
      <c r="F815" s="2" t="s">
        <v>391</v>
      </c>
      <c r="G815" s="2">
        <v>3</v>
      </c>
      <c r="H815" s="2">
        <v>7000</v>
      </c>
      <c r="I815" s="2">
        <v>0.1</v>
      </c>
      <c r="J815" s="3">
        <f t="shared" si="13"/>
        <v>18900</v>
      </c>
      <c r="K815" s="2" t="str">
        <f>TEXT(Table4[OrderDate], "mmmm")</f>
        <v>August</v>
      </c>
      <c r="L815" s="2">
        <f>IF(C815 = "", 0, IF(COUNTIF($C$2:C815, C815) = 1, 1, 0))</f>
        <v>0</v>
      </c>
    </row>
    <row r="816" spans="1:12" x14ac:dyDescent="0.25">
      <c r="A816" s="2">
        <v>1815</v>
      </c>
      <c r="B816" s="21" t="s">
        <v>148</v>
      </c>
      <c r="C816" s="2" t="s">
        <v>357</v>
      </c>
      <c r="D816" s="2" t="s">
        <v>376</v>
      </c>
      <c r="E816" s="2" t="s">
        <v>384</v>
      </c>
      <c r="F816" s="2" t="s">
        <v>389</v>
      </c>
      <c r="G816" s="2">
        <v>1</v>
      </c>
      <c r="H816" s="2">
        <v>30000</v>
      </c>
      <c r="I816" s="2">
        <v>0.1</v>
      </c>
      <c r="J816" s="3">
        <f t="shared" si="13"/>
        <v>27000</v>
      </c>
      <c r="K816" s="2" t="str">
        <f>TEXT(Table4[OrderDate], "mmmm")</f>
        <v>November</v>
      </c>
      <c r="L816" s="2">
        <f>IF(C816 = "", 0, IF(COUNTIF($C$2:C816, C816) = 1, 1, 0))</f>
        <v>0</v>
      </c>
    </row>
    <row r="817" spans="1:12" x14ac:dyDescent="0.25">
      <c r="A817" s="2">
        <v>1825</v>
      </c>
      <c r="B817" s="21" t="s">
        <v>340</v>
      </c>
      <c r="C817" s="2" t="s">
        <v>371</v>
      </c>
      <c r="D817" s="2" t="s">
        <v>375</v>
      </c>
      <c r="E817" s="2" t="s">
        <v>387</v>
      </c>
      <c r="F817" s="2" t="s">
        <v>391</v>
      </c>
      <c r="G817" s="2">
        <v>5</v>
      </c>
      <c r="H817" s="2">
        <v>3000</v>
      </c>
      <c r="I817" s="2">
        <v>0.15</v>
      </c>
      <c r="J817" s="3">
        <f t="shared" si="13"/>
        <v>12750</v>
      </c>
      <c r="K817" s="2" t="str">
        <f>TEXT(Table4[OrderDate], "mmmm")</f>
        <v>April</v>
      </c>
      <c r="L817" s="2">
        <f>IF(C817 = "", 0, IF(COUNTIF($C$2:C817, C817) = 1, 1, 0))</f>
        <v>0</v>
      </c>
    </row>
    <row r="818" spans="1:12" x14ac:dyDescent="0.25">
      <c r="A818" s="2">
        <v>1817</v>
      </c>
      <c r="B818" s="21" t="s">
        <v>154</v>
      </c>
      <c r="C818" s="2" t="s">
        <v>366</v>
      </c>
      <c r="D818" s="2" t="s">
        <v>377</v>
      </c>
      <c r="E818" s="2" t="s">
        <v>386</v>
      </c>
      <c r="F818" s="2" t="s">
        <v>391</v>
      </c>
      <c r="G818" s="2">
        <v>3</v>
      </c>
      <c r="H818" s="2">
        <v>7000</v>
      </c>
      <c r="I818" s="2">
        <v>0.15</v>
      </c>
      <c r="J818" s="3">
        <f t="shared" si="13"/>
        <v>17850</v>
      </c>
      <c r="K818" s="2" t="str">
        <f>TEXT(Table4[OrderDate], "mmmm")</f>
        <v>November</v>
      </c>
      <c r="L818" s="2">
        <f>IF(C818 = "", 0, IF(COUNTIF($C$2:C818, C818) = 1, 1, 0))</f>
        <v>0</v>
      </c>
    </row>
    <row r="819" spans="1:12" x14ac:dyDescent="0.25">
      <c r="A819" s="2">
        <v>1893</v>
      </c>
      <c r="B819" s="21" t="s">
        <v>19</v>
      </c>
      <c r="C819" s="2" t="s">
        <v>358</v>
      </c>
      <c r="D819" s="2" t="s">
        <v>380</v>
      </c>
      <c r="E819" s="2" t="s">
        <v>387</v>
      </c>
      <c r="F819" s="2" t="s">
        <v>391</v>
      </c>
      <c r="G819" s="2">
        <v>5</v>
      </c>
      <c r="H819" s="2">
        <v>3000</v>
      </c>
      <c r="I819" s="2">
        <v>0.15</v>
      </c>
      <c r="J819" s="3">
        <f t="shared" si="13"/>
        <v>12750</v>
      </c>
      <c r="K819" s="2" t="str">
        <f>TEXT(Table4[OrderDate], "mmmm")</f>
        <v>August</v>
      </c>
      <c r="L819" s="2">
        <f>IF(C819 = "", 0, IF(COUNTIF($C$2:C819, C819) = 1, 1, 0))</f>
        <v>0</v>
      </c>
    </row>
    <row r="820" spans="1:12" x14ac:dyDescent="0.25">
      <c r="A820" s="2">
        <v>1819</v>
      </c>
      <c r="B820" s="21" t="s">
        <v>341</v>
      </c>
      <c r="C820" s="2" t="s">
        <v>371</v>
      </c>
      <c r="D820" s="2" t="s">
        <v>377</v>
      </c>
      <c r="E820" s="2" t="s">
        <v>382</v>
      </c>
      <c r="F820" s="2" t="s">
        <v>389</v>
      </c>
      <c r="G820" s="2">
        <v>2</v>
      </c>
      <c r="H820" s="2">
        <v>50000</v>
      </c>
      <c r="I820" s="2">
        <v>0</v>
      </c>
      <c r="J820" s="3">
        <f t="shared" si="13"/>
        <v>100000</v>
      </c>
      <c r="K820" s="2" t="str">
        <f>TEXT(Table4[OrderDate], "mmmm")</f>
        <v>September</v>
      </c>
      <c r="L820" s="2">
        <f>IF(C820 = "", 0, IF(COUNTIF($C$2:C820, C820) = 1, 1, 0))</f>
        <v>0</v>
      </c>
    </row>
    <row r="821" spans="1:12" x14ac:dyDescent="0.25">
      <c r="A821" s="2">
        <v>1987</v>
      </c>
      <c r="B821" s="21" t="s">
        <v>253</v>
      </c>
      <c r="C821" s="2" t="s">
        <v>367</v>
      </c>
      <c r="D821" s="2" t="s">
        <v>377</v>
      </c>
      <c r="E821" s="2" t="s">
        <v>387</v>
      </c>
      <c r="F821" s="2" t="s">
        <v>391</v>
      </c>
      <c r="G821" s="2">
        <v>5</v>
      </c>
      <c r="H821" s="2">
        <v>3000</v>
      </c>
      <c r="I821" s="2">
        <v>0.15</v>
      </c>
      <c r="J821" s="3">
        <f t="shared" si="13"/>
        <v>12750</v>
      </c>
      <c r="K821" s="2" t="str">
        <f>TEXT(Table4[OrderDate], "mmmm")</f>
        <v>April</v>
      </c>
      <c r="L821" s="2">
        <f>IF(C821 = "", 0, IF(COUNTIF($C$2:C821, C821) = 1, 1, 0))</f>
        <v>0</v>
      </c>
    </row>
    <row r="822" spans="1:12" x14ac:dyDescent="0.25">
      <c r="A822" s="2">
        <v>1821</v>
      </c>
      <c r="B822" s="21" t="s">
        <v>69</v>
      </c>
      <c r="C822" s="2" t="s">
        <v>365</v>
      </c>
      <c r="D822" s="2" t="s">
        <v>374</v>
      </c>
      <c r="E822" s="2" t="s">
        <v>382</v>
      </c>
      <c r="F822" s="2" t="s">
        <v>389</v>
      </c>
      <c r="G822" s="2">
        <v>3</v>
      </c>
      <c r="H822" s="2">
        <v>50000</v>
      </c>
      <c r="I822" s="2">
        <v>0.05</v>
      </c>
      <c r="J822" s="3">
        <f t="shared" si="13"/>
        <v>142500</v>
      </c>
      <c r="K822" s="2" t="str">
        <f>TEXT(Table4[OrderDate], "mmmm")</f>
        <v>November</v>
      </c>
      <c r="L822" s="2">
        <f>IF(C822 = "", 0, IF(COUNTIF($C$2:C822, C822) = 1, 1, 0))</f>
        <v>0</v>
      </c>
    </row>
    <row r="823" spans="1:12" x14ac:dyDescent="0.25">
      <c r="A823" s="2">
        <v>1822</v>
      </c>
      <c r="B823" s="21" t="s">
        <v>208</v>
      </c>
      <c r="C823" s="2" t="s">
        <v>372</v>
      </c>
      <c r="D823" s="2" t="s">
        <v>376</v>
      </c>
      <c r="E823" s="2" t="s">
        <v>387</v>
      </c>
      <c r="F823" s="2" t="s">
        <v>391</v>
      </c>
      <c r="G823" s="2">
        <v>4</v>
      </c>
      <c r="H823" s="2">
        <v>3000</v>
      </c>
      <c r="I823" s="2">
        <v>0</v>
      </c>
      <c r="J823" s="3">
        <f t="shared" si="13"/>
        <v>12000</v>
      </c>
      <c r="K823" s="2" t="str">
        <f>TEXT(Table4[OrderDate], "mmmm")</f>
        <v>August</v>
      </c>
      <c r="L823" s="2">
        <f>IF(C823 = "", 0, IF(COUNTIF($C$2:C823, C823) = 1, 1, 0))</f>
        <v>0</v>
      </c>
    </row>
    <row r="824" spans="1:12" x14ac:dyDescent="0.25">
      <c r="A824" s="2">
        <v>1823</v>
      </c>
      <c r="B824" s="21" t="s">
        <v>343</v>
      </c>
      <c r="C824" s="2" t="s">
        <v>360</v>
      </c>
      <c r="D824" s="2" t="s">
        <v>374</v>
      </c>
      <c r="E824" s="2" t="s">
        <v>383</v>
      </c>
      <c r="F824" s="2" t="s">
        <v>390</v>
      </c>
      <c r="G824" s="2">
        <v>3</v>
      </c>
      <c r="H824" s="2">
        <v>1500</v>
      </c>
      <c r="I824" s="2">
        <v>0</v>
      </c>
      <c r="J824" s="3">
        <f t="shared" si="13"/>
        <v>4500</v>
      </c>
      <c r="K824" s="2" t="str">
        <f>TEXT(Table4[OrderDate], "mmmm")</f>
        <v>November</v>
      </c>
      <c r="L824" s="2">
        <f>IF(C824 = "", 0, IF(COUNTIF($C$2:C824, C824) = 1, 1, 0))</f>
        <v>0</v>
      </c>
    </row>
    <row r="825" spans="1:12" x14ac:dyDescent="0.25">
      <c r="A825" s="2">
        <v>1824</v>
      </c>
      <c r="B825" s="21" t="s">
        <v>172</v>
      </c>
      <c r="C825" s="2" t="s">
        <v>362</v>
      </c>
      <c r="D825" s="2" t="s">
        <v>377</v>
      </c>
      <c r="E825" s="2" t="s">
        <v>381</v>
      </c>
      <c r="F825" s="2" t="s">
        <v>389</v>
      </c>
      <c r="G825" s="2">
        <v>3</v>
      </c>
      <c r="H825" s="2">
        <v>20000</v>
      </c>
      <c r="I825" s="2">
        <v>0</v>
      </c>
      <c r="J825" s="3">
        <f t="shared" si="13"/>
        <v>60000</v>
      </c>
      <c r="K825" s="2" t="str">
        <f>TEXT(Table4[OrderDate], "mmmm")</f>
        <v>April</v>
      </c>
      <c r="L825" s="2">
        <f>IF(C825 = "", 0, IF(COUNTIF($C$2:C825, C825) = 1, 1, 0))</f>
        <v>0</v>
      </c>
    </row>
    <row r="826" spans="1:12" x14ac:dyDescent="0.25">
      <c r="A826" s="2">
        <v>1190</v>
      </c>
      <c r="B826" s="21" t="s">
        <v>158</v>
      </c>
      <c r="C826" s="2" t="s">
        <v>357</v>
      </c>
      <c r="D826" s="2" t="s">
        <v>374</v>
      </c>
      <c r="E826" s="2" t="s">
        <v>385</v>
      </c>
      <c r="F826" s="2" t="s">
        <v>390</v>
      </c>
      <c r="G826" s="2">
        <v>5</v>
      </c>
      <c r="H826" s="2">
        <v>2000</v>
      </c>
      <c r="I826" s="2">
        <v>0</v>
      </c>
      <c r="J826" s="3">
        <f t="shared" si="13"/>
        <v>10000</v>
      </c>
      <c r="K826" s="2" t="str">
        <f>TEXT(Table4[OrderDate], "mmmm")</f>
        <v>August</v>
      </c>
      <c r="L826" s="2">
        <f>IF(C826 = "", 0, IF(COUNTIF($C$2:C826, C826) = 1, 1, 0))</f>
        <v>0</v>
      </c>
    </row>
    <row r="827" spans="1:12" x14ac:dyDescent="0.25">
      <c r="A827" s="2">
        <v>1208</v>
      </c>
      <c r="B827" s="21" t="s">
        <v>170</v>
      </c>
      <c r="C827" s="2" t="s">
        <v>361</v>
      </c>
      <c r="D827" s="2" t="s">
        <v>373</v>
      </c>
      <c r="E827" s="2" t="s">
        <v>385</v>
      </c>
      <c r="F827" s="2" t="s">
        <v>390</v>
      </c>
      <c r="G827" s="2">
        <v>5</v>
      </c>
      <c r="H827" s="2">
        <v>2000</v>
      </c>
      <c r="I827" s="2">
        <v>0</v>
      </c>
      <c r="J827" s="3">
        <f t="shared" si="13"/>
        <v>10000</v>
      </c>
      <c r="K827" s="2" t="str">
        <f>TEXT(Table4[OrderDate], "mmmm")</f>
        <v>January</v>
      </c>
      <c r="L827" s="2">
        <f>IF(C827 = "", 0, IF(COUNTIF($C$2:C827, C827) = 1, 1, 0))</f>
        <v>0</v>
      </c>
    </row>
    <row r="828" spans="1:12" x14ac:dyDescent="0.25">
      <c r="A828" s="2">
        <v>1827</v>
      </c>
      <c r="B828" s="21" t="s">
        <v>291</v>
      </c>
      <c r="C828" s="2" t="s">
        <v>368</v>
      </c>
      <c r="D828" s="2" t="s">
        <v>376</v>
      </c>
      <c r="E828" s="2" t="s">
        <v>383</v>
      </c>
      <c r="F828" s="2" t="s">
        <v>390</v>
      </c>
      <c r="G828" s="2">
        <v>1</v>
      </c>
      <c r="H828" s="2">
        <v>1500</v>
      </c>
      <c r="I828" s="2">
        <v>0.05</v>
      </c>
      <c r="J828" s="3">
        <f t="shared" si="13"/>
        <v>1425</v>
      </c>
      <c r="K828" s="2" t="str">
        <f>TEXT(Table4[OrderDate], "mmmm")</f>
        <v>April</v>
      </c>
      <c r="L828" s="2">
        <f>IF(C828 = "", 0, IF(COUNTIF($C$2:C828, C828) = 1, 1, 0))</f>
        <v>0</v>
      </c>
    </row>
    <row r="829" spans="1:12" x14ac:dyDescent="0.25">
      <c r="A829" s="2">
        <v>1419</v>
      </c>
      <c r="B829" s="21" t="s">
        <v>166</v>
      </c>
      <c r="C829" s="2" t="s">
        <v>357</v>
      </c>
      <c r="D829" s="2" t="s">
        <v>376</v>
      </c>
      <c r="E829" s="2" t="s">
        <v>385</v>
      </c>
      <c r="F829" s="2" t="s">
        <v>390</v>
      </c>
      <c r="G829" s="2">
        <v>5</v>
      </c>
      <c r="H829" s="2">
        <v>2000</v>
      </c>
      <c r="I829" s="2">
        <v>0</v>
      </c>
      <c r="J829" s="3">
        <f t="shared" si="13"/>
        <v>10000</v>
      </c>
      <c r="K829" s="2" t="str">
        <f>TEXT(Table4[OrderDate], "mmmm")</f>
        <v>February</v>
      </c>
      <c r="L829" s="2">
        <f>IF(C829 = "", 0, IF(COUNTIF($C$2:C829, C829) = 1, 1, 0))</f>
        <v>0</v>
      </c>
    </row>
    <row r="830" spans="1:12" x14ac:dyDescent="0.25">
      <c r="A830" s="2">
        <v>1829</v>
      </c>
      <c r="B830" s="21" t="s">
        <v>231</v>
      </c>
      <c r="C830" s="2" t="s">
        <v>357</v>
      </c>
      <c r="D830" s="2" t="s">
        <v>375</v>
      </c>
      <c r="E830" s="2" t="s">
        <v>385</v>
      </c>
      <c r="F830" s="2" t="s">
        <v>390</v>
      </c>
      <c r="G830" s="2">
        <v>4</v>
      </c>
      <c r="H830" s="2">
        <v>2000</v>
      </c>
      <c r="I830" s="2">
        <v>0.15</v>
      </c>
      <c r="J830" s="3">
        <f t="shared" si="13"/>
        <v>6800</v>
      </c>
      <c r="K830" s="2" t="str">
        <f>TEXT(Table4[OrderDate], "mmmm")</f>
        <v>June</v>
      </c>
      <c r="L830" s="2">
        <f>IF(C830 = "", 0, IF(COUNTIF($C$2:C830, C830) = 1, 1, 0))</f>
        <v>0</v>
      </c>
    </row>
    <row r="831" spans="1:12" x14ac:dyDescent="0.25">
      <c r="A831" s="2">
        <v>1848</v>
      </c>
      <c r="B831" s="21" t="s">
        <v>345</v>
      </c>
      <c r="C831" s="2" t="s">
        <v>369</v>
      </c>
      <c r="D831" s="2" t="s">
        <v>376</v>
      </c>
      <c r="E831" s="2" t="s">
        <v>385</v>
      </c>
      <c r="F831" s="2" t="s">
        <v>390</v>
      </c>
      <c r="G831" s="2">
        <v>5</v>
      </c>
      <c r="H831" s="2">
        <v>2000</v>
      </c>
      <c r="I831" s="2">
        <v>0</v>
      </c>
      <c r="J831" s="3">
        <f t="shared" si="13"/>
        <v>10000</v>
      </c>
      <c r="K831" s="2" t="str">
        <f>TEXT(Table4[OrderDate], "mmmm")</f>
        <v>June</v>
      </c>
      <c r="L831" s="2">
        <f>IF(C831 = "", 0, IF(COUNTIF($C$2:C831, C831) = 1, 1, 0))</f>
        <v>0</v>
      </c>
    </row>
    <row r="832" spans="1:12" x14ac:dyDescent="0.25">
      <c r="A832" s="2">
        <v>1831</v>
      </c>
      <c r="B832" s="21" t="s">
        <v>338</v>
      </c>
      <c r="C832" s="2" t="s">
        <v>359</v>
      </c>
      <c r="D832" s="2" t="s">
        <v>373</v>
      </c>
      <c r="E832" s="2" t="s">
        <v>383</v>
      </c>
      <c r="F832" s="2" t="s">
        <v>390</v>
      </c>
      <c r="G832" s="2">
        <v>1</v>
      </c>
      <c r="H832" s="2">
        <v>1500</v>
      </c>
      <c r="I832" s="2">
        <v>0</v>
      </c>
      <c r="J832" s="3">
        <f t="shared" si="13"/>
        <v>1500</v>
      </c>
      <c r="K832" s="2" t="str">
        <f>TEXT(Table4[OrderDate], "mmmm")</f>
        <v>May</v>
      </c>
      <c r="L832" s="2">
        <f>IF(C832 = "", 0, IF(COUNTIF($C$2:C832, C832) = 1, 1, 0))</f>
        <v>0</v>
      </c>
    </row>
    <row r="833" spans="1:12" x14ac:dyDescent="0.25">
      <c r="A833" s="2">
        <v>1832</v>
      </c>
      <c r="B833" s="21" t="s">
        <v>64</v>
      </c>
      <c r="C833" s="2" t="s">
        <v>371</v>
      </c>
      <c r="D833" s="2" t="s">
        <v>376</v>
      </c>
      <c r="E833" s="2" t="s">
        <v>386</v>
      </c>
      <c r="F833" s="2" t="s">
        <v>391</v>
      </c>
      <c r="G833" s="2">
        <v>1</v>
      </c>
      <c r="H833" s="2">
        <v>7000</v>
      </c>
      <c r="I833" s="2">
        <v>0.1</v>
      </c>
      <c r="J833" s="3">
        <f t="shared" si="13"/>
        <v>6300</v>
      </c>
      <c r="K833" s="2" t="str">
        <f>TEXT(Table4[OrderDate], "mmmm")</f>
        <v>April</v>
      </c>
      <c r="L833" s="2">
        <f>IF(C833 = "", 0, IF(COUNTIF($C$2:C833, C833) = 1, 1, 0))</f>
        <v>0</v>
      </c>
    </row>
    <row r="834" spans="1:12" x14ac:dyDescent="0.25">
      <c r="A834" s="2">
        <v>1833</v>
      </c>
      <c r="B834" s="21" t="s">
        <v>344</v>
      </c>
      <c r="C834" s="2" t="s">
        <v>372</v>
      </c>
      <c r="D834" s="2" t="s">
        <v>380</v>
      </c>
      <c r="E834" s="2" t="s">
        <v>382</v>
      </c>
      <c r="F834" s="2" t="s">
        <v>389</v>
      </c>
      <c r="G834" s="2">
        <v>3</v>
      </c>
      <c r="H834" s="2">
        <v>50000</v>
      </c>
      <c r="I834" s="2">
        <v>0.05</v>
      </c>
      <c r="J834" s="3">
        <f t="shared" ref="J834:J897" si="14">H834*(1-I834)*G834</f>
        <v>142500</v>
      </c>
      <c r="K834" s="2" t="str">
        <f>TEXT(Table4[OrderDate], "mmmm")</f>
        <v>February</v>
      </c>
      <c r="L834" s="2">
        <f>IF(C834 = "", 0, IF(COUNTIF($C$2:C834, C834) = 1, 1, 0))</f>
        <v>0</v>
      </c>
    </row>
    <row r="835" spans="1:12" x14ac:dyDescent="0.25">
      <c r="A835" s="2">
        <v>1834</v>
      </c>
      <c r="B835" s="21" t="s">
        <v>146</v>
      </c>
      <c r="C835" s="2" t="s">
        <v>364</v>
      </c>
      <c r="D835" s="2" t="s">
        <v>375</v>
      </c>
      <c r="E835" s="2" t="s">
        <v>385</v>
      </c>
      <c r="F835" s="2" t="s">
        <v>390</v>
      </c>
      <c r="G835" s="2">
        <v>2</v>
      </c>
      <c r="H835" s="2">
        <v>2000</v>
      </c>
      <c r="I835" s="2">
        <v>0.05</v>
      </c>
      <c r="J835" s="3">
        <f t="shared" si="14"/>
        <v>3800</v>
      </c>
      <c r="K835" s="2" t="str">
        <f>TEXT(Table4[OrderDate], "mmmm")</f>
        <v>May</v>
      </c>
      <c r="L835" s="2">
        <f>IF(C835 = "", 0, IF(COUNTIF($C$2:C835, C835) = 1, 1, 0))</f>
        <v>0</v>
      </c>
    </row>
    <row r="836" spans="1:12" x14ac:dyDescent="0.25">
      <c r="A836" s="2">
        <v>1835</v>
      </c>
      <c r="B836" s="21" t="s">
        <v>56</v>
      </c>
      <c r="C836" s="2" t="s">
        <v>368</v>
      </c>
      <c r="D836" s="2" t="s">
        <v>375</v>
      </c>
      <c r="E836" s="2" t="s">
        <v>387</v>
      </c>
      <c r="F836" s="2" t="s">
        <v>391</v>
      </c>
      <c r="G836" s="2">
        <v>3</v>
      </c>
      <c r="H836" s="2">
        <v>3000</v>
      </c>
      <c r="I836" s="2">
        <v>0.1</v>
      </c>
      <c r="J836" s="3">
        <f t="shared" si="14"/>
        <v>8100</v>
      </c>
      <c r="K836" s="2" t="str">
        <f>TEXT(Table4[OrderDate], "mmmm")</f>
        <v>February</v>
      </c>
      <c r="L836" s="2">
        <f>IF(C836 = "", 0, IF(COUNTIF($C$2:C836, C836) = 1, 1, 0))</f>
        <v>0</v>
      </c>
    </row>
    <row r="837" spans="1:12" x14ac:dyDescent="0.25">
      <c r="A837" s="2">
        <v>1836</v>
      </c>
      <c r="B837" s="21" t="s">
        <v>110</v>
      </c>
      <c r="C837" s="2" t="s">
        <v>367</v>
      </c>
      <c r="D837" s="2" t="s">
        <v>377</v>
      </c>
      <c r="E837" s="2" t="s">
        <v>381</v>
      </c>
      <c r="F837" s="2" t="s">
        <v>389</v>
      </c>
      <c r="G837" s="2">
        <v>3</v>
      </c>
      <c r="H837" s="2">
        <v>20000</v>
      </c>
      <c r="I837" s="2">
        <v>0.15</v>
      </c>
      <c r="J837" s="3">
        <f t="shared" si="14"/>
        <v>51000</v>
      </c>
      <c r="K837" s="2" t="str">
        <f>TEXT(Table4[OrderDate], "mmmm")</f>
        <v>March</v>
      </c>
      <c r="L837" s="2">
        <f>IF(C837 = "", 0, IF(COUNTIF($C$2:C837, C837) = 1, 1, 0))</f>
        <v>0</v>
      </c>
    </row>
    <row r="838" spans="1:12" x14ac:dyDescent="0.25">
      <c r="A838" s="2">
        <v>1837</v>
      </c>
      <c r="B838" s="21" t="s">
        <v>202</v>
      </c>
      <c r="C838" s="2" t="s">
        <v>372</v>
      </c>
      <c r="D838" s="2" t="s">
        <v>376</v>
      </c>
      <c r="E838" s="2" t="s">
        <v>386</v>
      </c>
      <c r="F838" s="2" t="s">
        <v>391</v>
      </c>
      <c r="G838" s="2">
        <v>1</v>
      </c>
      <c r="H838" s="2">
        <v>7000</v>
      </c>
      <c r="I838" s="2">
        <v>0.15</v>
      </c>
      <c r="J838" s="3">
        <f t="shared" si="14"/>
        <v>5950</v>
      </c>
      <c r="K838" s="2" t="str">
        <f>TEXT(Table4[OrderDate], "mmmm")</f>
        <v>February</v>
      </c>
      <c r="L838" s="2">
        <f>IF(C838 = "", 0, IF(COUNTIF($C$2:C838, C838) = 1, 1, 0))</f>
        <v>0</v>
      </c>
    </row>
    <row r="839" spans="1:12" x14ac:dyDescent="0.25">
      <c r="A839" s="2">
        <v>1838</v>
      </c>
      <c r="B839" s="21" t="s">
        <v>36</v>
      </c>
      <c r="C839" s="2" t="s">
        <v>357</v>
      </c>
      <c r="D839" s="2" t="s">
        <v>374</v>
      </c>
      <c r="E839" s="2" t="s">
        <v>385</v>
      </c>
      <c r="F839" s="2" t="s">
        <v>390</v>
      </c>
      <c r="G839" s="2">
        <v>4</v>
      </c>
      <c r="H839" s="2">
        <v>2000</v>
      </c>
      <c r="I839" s="2">
        <v>0.15</v>
      </c>
      <c r="J839" s="3">
        <f t="shared" si="14"/>
        <v>6800</v>
      </c>
      <c r="K839" s="2" t="str">
        <f>TEXT(Table4[OrderDate], "mmmm")</f>
        <v>March</v>
      </c>
      <c r="L839" s="2">
        <f>IF(C839 = "", 0, IF(COUNTIF($C$2:C839, C839) = 1, 1, 0))</f>
        <v>0</v>
      </c>
    </row>
    <row r="840" spans="1:12" x14ac:dyDescent="0.25">
      <c r="A840" s="2">
        <v>1839</v>
      </c>
      <c r="B840" s="21" t="s">
        <v>180</v>
      </c>
      <c r="C840" s="2" t="s">
        <v>372</v>
      </c>
      <c r="D840" s="2" t="s">
        <v>376</v>
      </c>
      <c r="E840" s="2" t="s">
        <v>383</v>
      </c>
      <c r="F840" s="2" t="s">
        <v>390</v>
      </c>
      <c r="G840" s="2">
        <v>1</v>
      </c>
      <c r="H840" s="2">
        <v>1500</v>
      </c>
      <c r="I840" s="2">
        <v>0.1</v>
      </c>
      <c r="J840" s="3">
        <f t="shared" si="14"/>
        <v>1350</v>
      </c>
      <c r="K840" s="2" t="str">
        <f>TEXT(Table4[OrderDate], "mmmm")</f>
        <v>September</v>
      </c>
      <c r="L840" s="2">
        <f>IF(C840 = "", 0, IF(COUNTIF($C$2:C840, C840) = 1, 1, 0))</f>
        <v>0</v>
      </c>
    </row>
    <row r="841" spans="1:12" x14ac:dyDescent="0.25">
      <c r="A841" s="2">
        <v>1840</v>
      </c>
      <c r="B841" s="21" t="s">
        <v>188</v>
      </c>
      <c r="C841" s="2" t="s">
        <v>372</v>
      </c>
      <c r="D841" s="2" t="s">
        <v>378</v>
      </c>
      <c r="E841" s="2" t="s">
        <v>384</v>
      </c>
      <c r="F841" s="2" t="s">
        <v>389</v>
      </c>
      <c r="G841" s="2">
        <v>3</v>
      </c>
      <c r="H841" s="2">
        <v>30000</v>
      </c>
      <c r="I841" s="2">
        <v>0.05</v>
      </c>
      <c r="J841" s="3">
        <f t="shared" si="14"/>
        <v>85500</v>
      </c>
      <c r="K841" s="2" t="str">
        <f>TEXT(Table4[OrderDate], "mmmm")</f>
        <v>March</v>
      </c>
      <c r="L841" s="2">
        <f>IF(C841 = "", 0, IF(COUNTIF($C$2:C841, C841) = 1, 1, 0))</f>
        <v>0</v>
      </c>
    </row>
    <row r="842" spans="1:12" x14ac:dyDescent="0.25">
      <c r="A842" s="2">
        <v>1296</v>
      </c>
      <c r="B842" s="21" t="s">
        <v>216</v>
      </c>
      <c r="C842" s="2" t="s">
        <v>366</v>
      </c>
      <c r="D842" s="2" t="s">
        <v>376</v>
      </c>
      <c r="E842" s="2" t="s">
        <v>385</v>
      </c>
      <c r="F842" s="2" t="s">
        <v>390</v>
      </c>
      <c r="G842" s="2">
        <v>5</v>
      </c>
      <c r="H842" s="2">
        <v>2000</v>
      </c>
      <c r="I842" s="2">
        <v>0.05</v>
      </c>
      <c r="J842" s="3">
        <f t="shared" si="14"/>
        <v>9500</v>
      </c>
      <c r="K842" s="2" t="str">
        <f>TEXT(Table4[OrderDate], "mmmm")</f>
        <v>June</v>
      </c>
      <c r="L842" s="2">
        <f>IF(C842 = "", 0, IF(COUNTIF($C$2:C842, C842) = 1, 1, 0))</f>
        <v>0</v>
      </c>
    </row>
    <row r="843" spans="1:12" x14ac:dyDescent="0.25">
      <c r="A843" s="2">
        <v>1842</v>
      </c>
      <c r="B843" s="21" t="s">
        <v>304</v>
      </c>
      <c r="C843" s="2" t="s">
        <v>365</v>
      </c>
      <c r="D843" s="2" t="s">
        <v>380</v>
      </c>
      <c r="E843" s="2" t="s">
        <v>383</v>
      </c>
      <c r="F843" s="2" t="s">
        <v>390</v>
      </c>
      <c r="G843" s="2">
        <v>2</v>
      </c>
      <c r="H843" s="2">
        <v>1500</v>
      </c>
      <c r="I843" s="2">
        <v>0.05</v>
      </c>
      <c r="J843" s="3">
        <f t="shared" si="14"/>
        <v>2850</v>
      </c>
      <c r="K843" s="2" t="str">
        <f>TEXT(Table4[OrderDate], "mmmm")</f>
        <v>June</v>
      </c>
      <c r="L843" s="2">
        <f>IF(C843 = "", 0, IF(COUNTIF($C$2:C843, C843) = 1, 1, 0))</f>
        <v>0</v>
      </c>
    </row>
    <row r="844" spans="1:12" x14ac:dyDescent="0.25">
      <c r="A844" s="2">
        <v>1459</v>
      </c>
      <c r="B844" s="21" t="s">
        <v>155</v>
      </c>
      <c r="C844" s="2" t="s">
        <v>367</v>
      </c>
      <c r="D844" s="2" t="s">
        <v>376</v>
      </c>
      <c r="E844" s="2" t="s">
        <v>385</v>
      </c>
      <c r="F844" s="2" t="s">
        <v>390</v>
      </c>
      <c r="G844" s="2">
        <v>5</v>
      </c>
      <c r="H844" s="2">
        <v>2000</v>
      </c>
      <c r="I844" s="2">
        <v>0.05</v>
      </c>
      <c r="J844" s="3">
        <f t="shared" si="14"/>
        <v>9500</v>
      </c>
      <c r="K844" s="2" t="str">
        <f>TEXT(Table4[OrderDate], "mmmm")</f>
        <v>October</v>
      </c>
      <c r="L844" s="2">
        <f>IF(C844 = "", 0, IF(COUNTIF($C$2:C844, C844) = 1, 1, 0))</f>
        <v>0</v>
      </c>
    </row>
    <row r="845" spans="1:12" x14ac:dyDescent="0.25">
      <c r="A845" s="2">
        <v>1844</v>
      </c>
      <c r="B845" s="21" t="s">
        <v>313</v>
      </c>
      <c r="C845" s="2" t="s">
        <v>371</v>
      </c>
      <c r="D845" s="2" t="s">
        <v>380</v>
      </c>
      <c r="E845" s="2" t="s">
        <v>383</v>
      </c>
      <c r="F845" s="2" t="s">
        <v>390</v>
      </c>
      <c r="G845" s="2">
        <v>2</v>
      </c>
      <c r="H845" s="2">
        <v>1500</v>
      </c>
      <c r="I845" s="2">
        <v>0.05</v>
      </c>
      <c r="J845" s="3">
        <f t="shared" si="14"/>
        <v>2850</v>
      </c>
      <c r="K845" s="2" t="str">
        <f>TEXT(Table4[OrderDate], "mmmm")</f>
        <v>September</v>
      </c>
      <c r="L845" s="2">
        <f>IF(C845 = "", 0, IF(COUNTIF($C$2:C845, C845) = 1, 1, 0))</f>
        <v>0</v>
      </c>
    </row>
    <row r="846" spans="1:12" x14ac:dyDescent="0.25">
      <c r="A846" s="2">
        <v>1528</v>
      </c>
      <c r="B846" s="21" t="s">
        <v>108</v>
      </c>
      <c r="C846" s="2" t="s">
        <v>371</v>
      </c>
      <c r="D846" s="2" t="s">
        <v>380</v>
      </c>
      <c r="E846" s="2" t="s">
        <v>385</v>
      </c>
      <c r="F846" s="2" t="s">
        <v>390</v>
      </c>
      <c r="G846" s="2">
        <v>5</v>
      </c>
      <c r="H846" s="2">
        <v>2000</v>
      </c>
      <c r="I846" s="2">
        <v>0.05</v>
      </c>
      <c r="J846" s="3">
        <f t="shared" si="14"/>
        <v>9500</v>
      </c>
      <c r="K846" s="2" t="str">
        <f>TEXT(Table4[OrderDate], "mmmm")</f>
        <v>October</v>
      </c>
      <c r="L846" s="2">
        <f>IF(C846 = "", 0, IF(COUNTIF($C$2:C846, C846) = 1, 1, 0))</f>
        <v>0</v>
      </c>
    </row>
    <row r="847" spans="1:12" x14ac:dyDescent="0.25">
      <c r="A847" s="2">
        <v>1846</v>
      </c>
      <c r="B847" s="21" t="s">
        <v>231</v>
      </c>
      <c r="C847" s="2" t="s">
        <v>365</v>
      </c>
      <c r="D847" s="2" t="s">
        <v>377</v>
      </c>
      <c r="E847" s="2" t="s">
        <v>381</v>
      </c>
      <c r="F847" s="2" t="s">
        <v>389</v>
      </c>
      <c r="G847" s="2">
        <v>3</v>
      </c>
      <c r="H847" s="2">
        <v>20000</v>
      </c>
      <c r="I847" s="2">
        <v>0.15</v>
      </c>
      <c r="J847" s="3">
        <f t="shared" si="14"/>
        <v>51000</v>
      </c>
      <c r="K847" s="2" t="str">
        <f>TEXT(Table4[OrderDate], "mmmm")</f>
        <v>June</v>
      </c>
      <c r="L847" s="2">
        <f>IF(C847 = "", 0, IF(COUNTIF($C$2:C847, C847) = 1, 1, 0))</f>
        <v>0</v>
      </c>
    </row>
    <row r="848" spans="1:12" x14ac:dyDescent="0.25">
      <c r="A848" s="2">
        <v>1847</v>
      </c>
      <c r="B848" s="21" t="s">
        <v>181</v>
      </c>
      <c r="C848" s="2" t="s">
        <v>371</v>
      </c>
      <c r="D848" s="2" t="s">
        <v>376</v>
      </c>
      <c r="E848" s="2" t="s">
        <v>383</v>
      </c>
      <c r="F848" s="2" t="s">
        <v>390</v>
      </c>
      <c r="G848" s="2">
        <v>4</v>
      </c>
      <c r="H848" s="2">
        <v>1500</v>
      </c>
      <c r="I848" s="2">
        <v>0.1</v>
      </c>
      <c r="J848" s="3">
        <f t="shared" si="14"/>
        <v>5400</v>
      </c>
      <c r="K848" s="2" t="str">
        <f>TEXT(Table4[OrderDate], "mmmm")</f>
        <v>June</v>
      </c>
      <c r="L848" s="2">
        <f>IF(C848 = "", 0, IF(COUNTIF($C$2:C848, C848) = 1, 1, 0))</f>
        <v>0</v>
      </c>
    </row>
    <row r="849" spans="1:12" x14ac:dyDescent="0.25">
      <c r="A849" s="2">
        <v>1531</v>
      </c>
      <c r="B849" s="21" t="s">
        <v>57</v>
      </c>
      <c r="C849" s="2" t="s">
        <v>366</v>
      </c>
      <c r="D849" s="2" t="s">
        <v>373</v>
      </c>
      <c r="E849" s="2" t="s">
        <v>385</v>
      </c>
      <c r="F849" s="2" t="s">
        <v>390</v>
      </c>
      <c r="G849" s="2">
        <v>5</v>
      </c>
      <c r="H849" s="2">
        <v>2000</v>
      </c>
      <c r="I849" s="2">
        <v>0.05</v>
      </c>
      <c r="J849" s="3">
        <f t="shared" si="14"/>
        <v>9500</v>
      </c>
      <c r="K849" s="2" t="str">
        <f>TEXT(Table4[OrderDate], "mmmm")</f>
        <v>March</v>
      </c>
      <c r="L849" s="2">
        <f>IF(C849 = "", 0, IF(COUNTIF($C$2:C849, C849) = 1, 1, 0))</f>
        <v>0</v>
      </c>
    </row>
    <row r="850" spans="1:12" x14ac:dyDescent="0.25">
      <c r="A850" s="2">
        <v>1538</v>
      </c>
      <c r="B850" s="21" t="s">
        <v>296</v>
      </c>
      <c r="C850" s="2" t="s">
        <v>362</v>
      </c>
      <c r="D850" s="2" t="s">
        <v>380</v>
      </c>
      <c r="E850" s="2" t="s">
        <v>385</v>
      </c>
      <c r="F850" s="2" t="s">
        <v>390</v>
      </c>
      <c r="G850" s="2">
        <v>5</v>
      </c>
      <c r="H850" s="2">
        <v>2000</v>
      </c>
      <c r="I850" s="2">
        <v>0.05</v>
      </c>
      <c r="J850" s="3">
        <f t="shared" si="14"/>
        <v>9500</v>
      </c>
      <c r="K850" s="2" t="str">
        <f>TEXT(Table4[OrderDate], "mmmm")</f>
        <v>November</v>
      </c>
      <c r="L850" s="2">
        <f>IF(C850 = "", 0, IF(COUNTIF($C$2:C850, C850) = 1, 1, 0))</f>
        <v>0</v>
      </c>
    </row>
    <row r="851" spans="1:12" x14ac:dyDescent="0.25">
      <c r="A851" s="2">
        <v>1850</v>
      </c>
      <c r="B851" s="21" t="s">
        <v>33</v>
      </c>
      <c r="C851" s="2" t="s">
        <v>362</v>
      </c>
      <c r="D851" s="2" t="s">
        <v>374</v>
      </c>
      <c r="E851" s="2" t="s">
        <v>387</v>
      </c>
      <c r="F851" s="2" t="s">
        <v>391</v>
      </c>
      <c r="G851" s="2">
        <v>3</v>
      </c>
      <c r="H851" s="2">
        <v>3000</v>
      </c>
      <c r="I851" s="2">
        <v>0.05</v>
      </c>
      <c r="J851" s="3">
        <f t="shared" si="14"/>
        <v>8550</v>
      </c>
      <c r="K851" s="2" t="str">
        <f>TEXT(Table4[OrderDate], "mmmm")</f>
        <v>February</v>
      </c>
      <c r="L851" s="2">
        <f>IF(C851 = "", 0, IF(COUNTIF($C$2:C851, C851) = 1, 1, 0))</f>
        <v>0</v>
      </c>
    </row>
    <row r="852" spans="1:12" x14ac:dyDescent="0.25">
      <c r="A852" s="2">
        <v>1941</v>
      </c>
      <c r="B852" s="21" t="s">
        <v>110</v>
      </c>
      <c r="C852" s="2" t="s">
        <v>365</v>
      </c>
      <c r="D852" s="2" t="s">
        <v>380</v>
      </c>
      <c r="E852" s="2" t="s">
        <v>385</v>
      </c>
      <c r="F852" s="2" t="s">
        <v>390</v>
      </c>
      <c r="G852" s="2">
        <v>5</v>
      </c>
      <c r="H852" s="2">
        <v>2000</v>
      </c>
      <c r="I852" s="2">
        <v>0.05</v>
      </c>
      <c r="J852" s="3">
        <f t="shared" si="14"/>
        <v>9500</v>
      </c>
      <c r="K852" s="2" t="str">
        <f>TEXT(Table4[OrderDate], "mmmm")</f>
        <v>March</v>
      </c>
      <c r="L852" s="2">
        <f>IF(C852 = "", 0, IF(COUNTIF($C$2:C852, C852) = 1, 1, 0))</f>
        <v>0</v>
      </c>
    </row>
    <row r="853" spans="1:12" x14ac:dyDescent="0.25">
      <c r="A853" s="2">
        <v>1852</v>
      </c>
      <c r="B853" s="21" t="s">
        <v>346</v>
      </c>
      <c r="C853" s="2" t="s">
        <v>359</v>
      </c>
      <c r="D853" s="2" t="s">
        <v>376</v>
      </c>
      <c r="E853" s="2" t="s">
        <v>381</v>
      </c>
      <c r="F853" s="2" t="s">
        <v>389</v>
      </c>
      <c r="G853" s="2">
        <v>3</v>
      </c>
      <c r="H853" s="2">
        <v>20000</v>
      </c>
      <c r="I853" s="2">
        <v>0.15</v>
      </c>
      <c r="J853" s="3">
        <f t="shared" si="14"/>
        <v>51000</v>
      </c>
      <c r="K853" s="2" t="str">
        <f>TEXT(Table4[OrderDate], "mmmm")</f>
        <v>August</v>
      </c>
      <c r="L853" s="2">
        <f>IF(C853 = "", 0, IF(COUNTIF($C$2:C853, C853) = 1, 1, 0))</f>
        <v>0</v>
      </c>
    </row>
    <row r="854" spans="1:12" x14ac:dyDescent="0.25">
      <c r="A854" s="2">
        <v>1007</v>
      </c>
      <c r="B854" s="21" t="s">
        <v>16</v>
      </c>
      <c r="C854" s="2" t="s">
        <v>363</v>
      </c>
      <c r="D854" s="2" t="s">
        <v>377</v>
      </c>
      <c r="E854" s="2" t="s">
        <v>385</v>
      </c>
      <c r="F854" s="2" t="s">
        <v>390</v>
      </c>
      <c r="G854" s="2">
        <v>5</v>
      </c>
      <c r="H854" s="2">
        <v>2000</v>
      </c>
      <c r="I854" s="2">
        <v>0.1</v>
      </c>
      <c r="J854" s="3">
        <f t="shared" si="14"/>
        <v>9000</v>
      </c>
      <c r="K854" s="2" t="str">
        <f>TEXT(Table4[OrderDate], "mmmm")</f>
        <v>January</v>
      </c>
      <c r="L854" s="2">
        <f>IF(C854 = "", 0, IF(COUNTIF($C$2:C854, C854) = 1, 1, 0))</f>
        <v>0</v>
      </c>
    </row>
    <row r="855" spans="1:12" x14ac:dyDescent="0.25">
      <c r="A855" s="2">
        <v>1854</v>
      </c>
      <c r="B855" s="21" t="s">
        <v>347</v>
      </c>
      <c r="C855" s="2" t="s">
        <v>372</v>
      </c>
      <c r="D855" s="2" t="s">
        <v>379</v>
      </c>
      <c r="E855" s="2" t="s">
        <v>384</v>
      </c>
      <c r="F855" s="2" t="s">
        <v>389</v>
      </c>
      <c r="G855" s="2">
        <v>1</v>
      </c>
      <c r="H855" s="2">
        <v>30000</v>
      </c>
      <c r="I855" s="2">
        <v>0.15</v>
      </c>
      <c r="J855" s="3">
        <f t="shared" si="14"/>
        <v>25500</v>
      </c>
      <c r="K855" s="2" t="str">
        <f>TEXT(Table4[OrderDate], "mmmm")</f>
        <v>October</v>
      </c>
      <c r="L855" s="2">
        <f>IF(C855 = "", 0, IF(COUNTIF($C$2:C855, C855) = 1, 1, 0))</f>
        <v>0</v>
      </c>
    </row>
    <row r="856" spans="1:12" x14ac:dyDescent="0.25">
      <c r="A856" s="2">
        <v>1855</v>
      </c>
      <c r="B856" s="21" t="s">
        <v>93</v>
      </c>
      <c r="C856" s="2" t="s">
        <v>360</v>
      </c>
      <c r="D856" s="2" t="s">
        <v>374</v>
      </c>
      <c r="E856" s="2" t="s">
        <v>384</v>
      </c>
      <c r="F856" s="2" t="s">
        <v>389</v>
      </c>
      <c r="G856" s="2">
        <v>1</v>
      </c>
      <c r="H856" s="2">
        <v>30000</v>
      </c>
      <c r="I856" s="2">
        <v>0.1</v>
      </c>
      <c r="J856" s="3">
        <f t="shared" si="14"/>
        <v>27000</v>
      </c>
      <c r="K856" s="2" t="str">
        <f>TEXT(Table4[OrderDate], "mmmm")</f>
        <v>April</v>
      </c>
      <c r="L856" s="2">
        <f>IF(C856 = "", 0, IF(COUNTIF($C$2:C856, C856) = 1, 1, 0))</f>
        <v>0</v>
      </c>
    </row>
    <row r="857" spans="1:12" x14ac:dyDescent="0.25">
      <c r="A857" s="2">
        <v>1856</v>
      </c>
      <c r="B857" s="21" t="s">
        <v>151</v>
      </c>
      <c r="C857" s="2" t="s">
        <v>360</v>
      </c>
      <c r="D857" s="2" t="s">
        <v>376</v>
      </c>
      <c r="E857" s="2" t="s">
        <v>388</v>
      </c>
      <c r="F857" s="2" t="s">
        <v>389</v>
      </c>
      <c r="G857" s="2">
        <v>1</v>
      </c>
      <c r="H857" s="2">
        <v>12000</v>
      </c>
      <c r="I857" s="2">
        <v>0</v>
      </c>
      <c r="J857" s="3">
        <f t="shared" si="14"/>
        <v>12000</v>
      </c>
      <c r="K857" s="2" t="str">
        <f>TEXT(Table4[OrderDate], "mmmm")</f>
        <v>July</v>
      </c>
      <c r="L857" s="2">
        <f>IF(C857 = "", 0, IF(COUNTIF($C$2:C857, C857) = 1, 1, 0))</f>
        <v>0</v>
      </c>
    </row>
    <row r="858" spans="1:12" x14ac:dyDescent="0.25">
      <c r="A858" s="2">
        <v>1857</v>
      </c>
      <c r="B858" s="21" t="s">
        <v>149</v>
      </c>
      <c r="C858" s="2" t="s">
        <v>368</v>
      </c>
      <c r="D858" s="2" t="s">
        <v>375</v>
      </c>
      <c r="E858" s="2" t="s">
        <v>381</v>
      </c>
      <c r="F858" s="2" t="s">
        <v>389</v>
      </c>
      <c r="G858" s="2">
        <v>1</v>
      </c>
      <c r="H858" s="2">
        <v>20000</v>
      </c>
      <c r="I858" s="2">
        <v>0.1</v>
      </c>
      <c r="J858" s="3">
        <f t="shared" si="14"/>
        <v>18000</v>
      </c>
      <c r="K858" s="2" t="str">
        <f>TEXT(Table4[OrderDate], "mmmm")</f>
        <v>November</v>
      </c>
      <c r="L858" s="2">
        <f>IF(C858 = "", 0, IF(COUNTIF($C$2:C858, C858) = 1, 1, 0))</f>
        <v>0</v>
      </c>
    </row>
    <row r="859" spans="1:12" x14ac:dyDescent="0.25">
      <c r="A859" s="2">
        <v>1320</v>
      </c>
      <c r="B859" s="21" t="s">
        <v>145</v>
      </c>
      <c r="C859" s="2" t="s">
        <v>360</v>
      </c>
      <c r="D859" s="2" t="s">
        <v>380</v>
      </c>
      <c r="E859" s="2" t="s">
        <v>385</v>
      </c>
      <c r="F859" s="2" t="s">
        <v>390</v>
      </c>
      <c r="G859" s="2">
        <v>5</v>
      </c>
      <c r="H859" s="2">
        <v>2000</v>
      </c>
      <c r="I859" s="2">
        <v>0.1</v>
      </c>
      <c r="J859" s="3">
        <f t="shared" si="14"/>
        <v>9000</v>
      </c>
      <c r="K859" s="2" t="str">
        <f>TEXT(Table4[OrderDate], "mmmm")</f>
        <v>December</v>
      </c>
      <c r="L859" s="2">
        <f>IF(C859 = "", 0, IF(COUNTIF($C$2:C859, C859) = 1, 1, 0))</f>
        <v>0</v>
      </c>
    </row>
    <row r="860" spans="1:12" x14ac:dyDescent="0.25">
      <c r="A860" s="2">
        <v>1859</v>
      </c>
      <c r="B860" s="21" t="s">
        <v>58</v>
      </c>
      <c r="C860" s="2" t="s">
        <v>359</v>
      </c>
      <c r="D860" s="2" t="s">
        <v>374</v>
      </c>
      <c r="E860" s="2" t="s">
        <v>384</v>
      </c>
      <c r="F860" s="2" t="s">
        <v>389</v>
      </c>
      <c r="G860" s="2">
        <v>2</v>
      </c>
      <c r="H860" s="2">
        <v>30000</v>
      </c>
      <c r="I860" s="2">
        <v>0.15</v>
      </c>
      <c r="J860" s="3">
        <f t="shared" si="14"/>
        <v>51000</v>
      </c>
      <c r="K860" s="2" t="str">
        <f>TEXT(Table4[OrderDate], "mmmm")</f>
        <v>October</v>
      </c>
      <c r="L860" s="2">
        <f>IF(C860 = "", 0, IF(COUNTIF($C$2:C860, C860) = 1, 1, 0))</f>
        <v>0</v>
      </c>
    </row>
    <row r="861" spans="1:12" x14ac:dyDescent="0.25">
      <c r="A861" s="2">
        <v>1361</v>
      </c>
      <c r="B861" s="21" t="s">
        <v>244</v>
      </c>
      <c r="C861" s="2" t="s">
        <v>370</v>
      </c>
      <c r="D861" s="2" t="s">
        <v>373</v>
      </c>
      <c r="E861" s="2" t="s">
        <v>385</v>
      </c>
      <c r="F861" s="2" t="s">
        <v>390</v>
      </c>
      <c r="G861" s="2">
        <v>5</v>
      </c>
      <c r="H861" s="2">
        <v>2000</v>
      </c>
      <c r="I861" s="2">
        <v>0.1</v>
      </c>
      <c r="J861" s="3">
        <f t="shared" si="14"/>
        <v>9000</v>
      </c>
      <c r="K861" s="2" t="str">
        <f>TEXT(Table4[OrderDate], "mmmm")</f>
        <v>May</v>
      </c>
      <c r="L861" s="2">
        <f>IF(C861 = "", 0, IF(COUNTIF($C$2:C861, C861) = 1, 1, 0))</f>
        <v>0</v>
      </c>
    </row>
    <row r="862" spans="1:12" x14ac:dyDescent="0.25">
      <c r="A862" s="2">
        <v>1861</v>
      </c>
      <c r="B862" s="21" t="s">
        <v>22</v>
      </c>
      <c r="C862" s="2" t="s">
        <v>364</v>
      </c>
      <c r="D862" s="2" t="s">
        <v>376</v>
      </c>
      <c r="E862" s="2" t="s">
        <v>384</v>
      </c>
      <c r="F862" s="2" t="s">
        <v>389</v>
      </c>
      <c r="G862" s="2">
        <v>1</v>
      </c>
      <c r="H862" s="2">
        <v>30000</v>
      </c>
      <c r="I862" s="2">
        <v>0.1</v>
      </c>
      <c r="J862" s="3">
        <f t="shared" si="14"/>
        <v>27000</v>
      </c>
      <c r="K862" s="2" t="str">
        <f>TEXT(Table4[OrderDate], "mmmm")</f>
        <v>December</v>
      </c>
      <c r="L862" s="2">
        <f>IF(C862 = "", 0, IF(COUNTIF($C$2:C862, C862) = 1, 1, 0))</f>
        <v>0</v>
      </c>
    </row>
    <row r="863" spans="1:12" x14ac:dyDescent="0.25">
      <c r="A863" s="2">
        <v>1862</v>
      </c>
      <c r="B863" s="21" t="s">
        <v>159</v>
      </c>
      <c r="C863" s="2" t="s">
        <v>360</v>
      </c>
      <c r="D863" s="2" t="s">
        <v>378</v>
      </c>
      <c r="E863" s="2" t="s">
        <v>386</v>
      </c>
      <c r="F863" s="2" t="s">
        <v>391</v>
      </c>
      <c r="G863" s="2">
        <v>2</v>
      </c>
      <c r="H863" s="2">
        <v>7000</v>
      </c>
      <c r="I863" s="2">
        <v>0.1</v>
      </c>
      <c r="J863" s="3">
        <f t="shared" si="14"/>
        <v>12600</v>
      </c>
      <c r="K863" s="2" t="str">
        <f>TEXT(Table4[OrderDate], "mmmm")</f>
        <v>February</v>
      </c>
      <c r="L863" s="2">
        <f>IF(C863 = "", 0, IF(COUNTIF($C$2:C863, C863) = 1, 1, 0))</f>
        <v>0</v>
      </c>
    </row>
    <row r="864" spans="1:12" x14ac:dyDescent="0.25">
      <c r="A864" s="2">
        <v>1450</v>
      </c>
      <c r="B864" s="21" t="s">
        <v>277</v>
      </c>
      <c r="C864" s="2" t="s">
        <v>369</v>
      </c>
      <c r="D864" s="2" t="s">
        <v>376</v>
      </c>
      <c r="E864" s="2" t="s">
        <v>385</v>
      </c>
      <c r="F864" s="2" t="s">
        <v>390</v>
      </c>
      <c r="G864" s="2">
        <v>5</v>
      </c>
      <c r="H864" s="2">
        <v>2000</v>
      </c>
      <c r="I864" s="2">
        <v>0.1</v>
      </c>
      <c r="J864" s="3">
        <f t="shared" si="14"/>
        <v>9000</v>
      </c>
      <c r="K864" s="2" t="str">
        <f>TEXT(Table4[OrderDate], "mmmm")</f>
        <v>November</v>
      </c>
      <c r="L864" s="2">
        <f>IF(C864 = "", 0, IF(COUNTIF($C$2:C864, C864) = 1, 1, 0))</f>
        <v>0</v>
      </c>
    </row>
    <row r="865" spans="1:12" x14ac:dyDescent="0.25">
      <c r="A865" s="2">
        <v>1864</v>
      </c>
      <c r="B865" s="21" t="s">
        <v>239</v>
      </c>
      <c r="C865" s="2" t="s">
        <v>357</v>
      </c>
      <c r="D865" s="2" t="s">
        <v>378</v>
      </c>
      <c r="E865" s="2" t="s">
        <v>383</v>
      </c>
      <c r="F865" s="2" t="s">
        <v>390</v>
      </c>
      <c r="G865" s="2">
        <v>2</v>
      </c>
      <c r="H865" s="2">
        <v>1500</v>
      </c>
      <c r="I865" s="2">
        <v>0</v>
      </c>
      <c r="J865" s="3">
        <f t="shared" si="14"/>
        <v>3000</v>
      </c>
      <c r="K865" s="2" t="str">
        <f>TEXT(Table4[OrderDate], "mmmm")</f>
        <v>July</v>
      </c>
      <c r="L865" s="2">
        <f>IF(C865 = "", 0, IF(COUNTIF($C$2:C865, C865) = 1, 1, 0))</f>
        <v>0</v>
      </c>
    </row>
    <row r="866" spans="1:12" x14ac:dyDescent="0.25">
      <c r="A866" s="2">
        <v>1592</v>
      </c>
      <c r="B866" s="21" t="s">
        <v>306</v>
      </c>
      <c r="C866" s="2" t="s">
        <v>369</v>
      </c>
      <c r="D866" s="2" t="s">
        <v>379</v>
      </c>
      <c r="E866" s="2" t="s">
        <v>385</v>
      </c>
      <c r="F866" s="2" t="s">
        <v>390</v>
      </c>
      <c r="G866" s="2">
        <v>5</v>
      </c>
      <c r="H866" s="2">
        <v>2000</v>
      </c>
      <c r="I866" s="2">
        <v>0.1</v>
      </c>
      <c r="J866" s="3">
        <f t="shared" si="14"/>
        <v>9000</v>
      </c>
      <c r="K866" s="2" t="str">
        <f>TEXT(Table4[OrderDate], "mmmm")</f>
        <v>March</v>
      </c>
      <c r="L866" s="2">
        <f>IF(C866 = "", 0, IF(COUNTIF($C$2:C866, C866) = 1, 1, 0))</f>
        <v>0</v>
      </c>
    </row>
    <row r="867" spans="1:12" x14ac:dyDescent="0.25">
      <c r="A867" s="2">
        <v>1154</v>
      </c>
      <c r="B867" s="21" t="s">
        <v>131</v>
      </c>
      <c r="C867" s="2" t="s">
        <v>367</v>
      </c>
      <c r="D867" s="2" t="s">
        <v>374</v>
      </c>
      <c r="E867" s="2" t="s">
        <v>385</v>
      </c>
      <c r="F867" s="2" t="s">
        <v>390</v>
      </c>
      <c r="G867" s="2">
        <v>5</v>
      </c>
      <c r="H867" s="2">
        <v>2000</v>
      </c>
      <c r="I867" s="2">
        <v>0.15</v>
      </c>
      <c r="J867" s="3">
        <f t="shared" si="14"/>
        <v>8500</v>
      </c>
      <c r="K867" s="2" t="str">
        <f>TEXT(Table4[OrderDate], "mmmm")</f>
        <v>June</v>
      </c>
      <c r="L867" s="2">
        <f>IF(C867 = "", 0, IF(COUNTIF($C$2:C867, C867) = 1, 1, 0))</f>
        <v>0</v>
      </c>
    </row>
    <row r="868" spans="1:12" x14ac:dyDescent="0.25">
      <c r="A868" s="2">
        <v>1867</v>
      </c>
      <c r="B868" s="21" t="s">
        <v>162</v>
      </c>
      <c r="C868" s="2" t="s">
        <v>361</v>
      </c>
      <c r="D868" s="2" t="s">
        <v>373</v>
      </c>
      <c r="E868" s="2" t="s">
        <v>384</v>
      </c>
      <c r="F868" s="2" t="s">
        <v>389</v>
      </c>
      <c r="G868" s="2">
        <v>3</v>
      </c>
      <c r="H868" s="2">
        <v>30000</v>
      </c>
      <c r="I868" s="2">
        <v>0.05</v>
      </c>
      <c r="J868" s="3">
        <f t="shared" si="14"/>
        <v>85500</v>
      </c>
      <c r="K868" s="2" t="str">
        <f>TEXT(Table4[OrderDate], "mmmm")</f>
        <v>August</v>
      </c>
      <c r="L868" s="2">
        <f>IF(C868 = "", 0, IF(COUNTIF($C$2:C868, C868) = 1, 1, 0))</f>
        <v>0</v>
      </c>
    </row>
    <row r="869" spans="1:12" x14ac:dyDescent="0.25">
      <c r="A869" s="2">
        <v>1868</v>
      </c>
      <c r="B869" s="21" t="s">
        <v>107</v>
      </c>
      <c r="C869" s="2" t="s">
        <v>366</v>
      </c>
      <c r="D869" s="2" t="s">
        <v>373</v>
      </c>
      <c r="E869" s="2" t="s">
        <v>385</v>
      </c>
      <c r="F869" s="2" t="s">
        <v>390</v>
      </c>
      <c r="G869" s="2">
        <v>1</v>
      </c>
      <c r="H869" s="2">
        <v>2000</v>
      </c>
      <c r="I869" s="2">
        <v>0</v>
      </c>
      <c r="J869" s="3">
        <f t="shared" si="14"/>
        <v>2000</v>
      </c>
      <c r="K869" s="2" t="str">
        <f>TEXT(Table4[OrderDate], "mmmm")</f>
        <v>April</v>
      </c>
      <c r="L869" s="2">
        <f>IF(C869 = "", 0, IF(COUNTIF($C$2:C869, C869) = 1, 1, 0))</f>
        <v>0</v>
      </c>
    </row>
    <row r="870" spans="1:12" x14ac:dyDescent="0.25">
      <c r="A870" s="2">
        <v>1869</v>
      </c>
      <c r="B870" s="21" t="s">
        <v>189</v>
      </c>
      <c r="C870" s="2" t="s">
        <v>370</v>
      </c>
      <c r="D870" s="2" t="s">
        <v>380</v>
      </c>
      <c r="E870" s="2" t="s">
        <v>382</v>
      </c>
      <c r="F870" s="2" t="s">
        <v>389</v>
      </c>
      <c r="G870" s="2">
        <v>3</v>
      </c>
      <c r="H870" s="2">
        <v>50000</v>
      </c>
      <c r="I870" s="2">
        <v>0.15</v>
      </c>
      <c r="J870" s="3">
        <f t="shared" si="14"/>
        <v>127500</v>
      </c>
      <c r="K870" s="2" t="str">
        <f>TEXT(Table4[OrderDate], "mmmm")</f>
        <v>July</v>
      </c>
      <c r="L870" s="2">
        <f>IF(C870 = "", 0, IF(COUNTIF($C$2:C870, C870) = 1, 1, 0))</f>
        <v>0</v>
      </c>
    </row>
    <row r="871" spans="1:12" x14ac:dyDescent="0.25">
      <c r="A871" s="2">
        <v>1870</v>
      </c>
      <c r="B871" s="21" t="s">
        <v>256</v>
      </c>
      <c r="C871" s="2" t="s">
        <v>361</v>
      </c>
      <c r="D871" s="2" t="s">
        <v>373</v>
      </c>
      <c r="E871" s="2" t="s">
        <v>386</v>
      </c>
      <c r="F871" s="2" t="s">
        <v>391</v>
      </c>
      <c r="G871" s="2">
        <v>2</v>
      </c>
      <c r="H871" s="2">
        <v>7000</v>
      </c>
      <c r="I871" s="2">
        <v>0.05</v>
      </c>
      <c r="J871" s="3">
        <f t="shared" si="14"/>
        <v>13300</v>
      </c>
      <c r="K871" s="2" t="str">
        <f>TEXT(Table4[OrderDate], "mmmm")</f>
        <v>February</v>
      </c>
      <c r="L871" s="2">
        <f>IF(C871 = "", 0, IF(COUNTIF($C$2:C871, C871) = 1, 1, 0))</f>
        <v>0</v>
      </c>
    </row>
    <row r="872" spans="1:12" x14ac:dyDescent="0.25">
      <c r="A872" s="2">
        <v>1217</v>
      </c>
      <c r="B872" s="21" t="s">
        <v>106</v>
      </c>
      <c r="C872" s="2" t="s">
        <v>368</v>
      </c>
      <c r="D872" s="2" t="s">
        <v>378</v>
      </c>
      <c r="E872" s="2" t="s">
        <v>385</v>
      </c>
      <c r="F872" s="2" t="s">
        <v>390</v>
      </c>
      <c r="G872" s="2">
        <v>5</v>
      </c>
      <c r="H872" s="2">
        <v>2000</v>
      </c>
      <c r="I872" s="2">
        <v>0.15</v>
      </c>
      <c r="J872" s="3">
        <f t="shared" si="14"/>
        <v>8500</v>
      </c>
      <c r="K872" s="2" t="str">
        <f>TEXT(Table4[OrderDate], "mmmm")</f>
        <v>October</v>
      </c>
      <c r="L872" s="2">
        <f>IF(C872 = "", 0, IF(COUNTIF($C$2:C872, C872) = 1, 1, 0))</f>
        <v>0</v>
      </c>
    </row>
    <row r="873" spans="1:12" x14ac:dyDescent="0.25">
      <c r="A873" s="2">
        <v>1872</v>
      </c>
      <c r="B873" s="21" t="s">
        <v>202</v>
      </c>
      <c r="C873" s="2" t="s">
        <v>367</v>
      </c>
      <c r="D873" s="2" t="s">
        <v>373</v>
      </c>
      <c r="E873" s="2" t="s">
        <v>387</v>
      </c>
      <c r="F873" s="2" t="s">
        <v>391</v>
      </c>
      <c r="G873" s="2">
        <v>1</v>
      </c>
      <c r="H873" s="2">
        <v>3000</v>
      </c>
      <c r="I873" s="2">
        <v>0.1</v>
      </c>
      <c r="J873" s="3">
        <f t="shared" si="14"/>
        <v>2700</v>
      </c>
      <c r="K873" s="2" t="str">
        <f>TEXT(Table4[OrderDate], "mmmm")</f>
        <v>February</v>
      </c>
      <c r="L873" s="2">
        <f>IF(C873 = "", 0, IF(COUNTIF($C$2:C873, C873) = 1, 1, 0))</f>
        <v>0</v>
      </c>
    </row>
    <row r="874" spans="1:12" x14ac:dyDescent="0.25">
      <c r="A874" s="2">
        <v>1873</v>
      </c>
      <c r="B874" s="21" t="s">
        <v>151</v>
      </c>
      <c r="C874" s="2" t="s">
        <v>367</v>
      </c>
      <c r="D874" s="2" t="s">
        <v>380</v>
      </c>
      <c r="E874" s="2" t="s">
        <v>388</v>
      </c>
      <c r="F874" s="2" t="s">
        <v>389</v>
      </c>
      <c r="G874" s="2">
        <v>3</v>
      </c>
      <c r="H874" s="2">
        <v>12000</v>
      </c>
      <c r="I874" s="2">
        <v>0.05</v>
      </c>
      <c r="J874" s="3">
        <f t="shared" si="14"/>
        <v>34200</v>
      </c>
      <c r="K874" s="2" t="str">
        <f>TEXT(Table4[OrderDate], "mmmm")</f>
        <v>July</v>
      </c>
      <c r="L874" s="2">
        <f>IF(C874 = "", 0, IF(COUNTIF($C$2:C874, C874) = 1, 1, 0))</f>
        <v>0</v>
      </c>
    </row>
    <row r="875" spans="1:12" x14ac:dyDescent="0.25">
      <c r="A875" s="2">
        <v>1874</v>
      </c>
      <c r="B875" s="21" t="s">
        <v>187</v>
      </c>
      <c r="C875" s="2" t="s">
        <v>372</v>
      </c>
      <c r="D875" s="2" t="s">
        <v>378</v>
      </c>
      <c r="E875" s="2" t="s">
        <v>384</v>
      </c>
      <c r="F875" s="2" t="s">
        <v>389</v>
      </c>
      <c r="G875" s="2">
        <v>2</v>
      </c>
      <c r="H875" s="2">
        <v>30000</v>
      </c>
      <c r="I875" s="2">
        <v>0.05</v>
      </c>
      <c r="J875" s="3">
        <f t="shared" si="14"/>
        <v>57000</v>
      </c>
      <c r="K875" s="2" t="str">
        <f>TEXT(Table4[OrderDate], "mmmm")</f>
        <v>April</v>
      </c>
      <c r="L875" s="2">
        <f>IF(C875 = "", 0, IF(COUNTIF($C$2:C875, C875) = 1, 1, 0))</f>
        <v>0</v>
      </c>
    </row>
    <row r="876" spans="1:12" x14ac:dyDescent="0.25">
      <c r="A876" s="2">
        <v>1875</v>
      </c>
      <c r="B876" s="21" t="s">
        <v>64</v>
      </c>
      <c r="C876" s="2" t="s">
        <v>371</v>
      </c>
      <c r="D876" s="2" t="s">
        <v>375</v>
      </c>
      <c r="E876" s="2" t="s">
        <v>382</v>
      </c>
      <c r="F876" s="2" t="s">
        <v>389</v>
      </c>
      <c r="G876" s="2">
        <v>3</v>
      </c>
      <c r="H876" s="2">
        <v>50000</v>
      </c>
      <c r="I876" s="2">
        <v>0.15</v>
      </c>
      <c r="J876" s="3">
        <f t="shared" si="14"/>
        <v>127500</v>
      </c>
      <c r="K876" s="2" t="str">
        <f>TEXT(Table4[OrderDate], "mmmm")</f>
        <v>April</v>
      </c>
      <c r="L876" s="2">
        <f>IF(C876 = "", 0, IF(COUNTIF($C$2:C876, C876) = 1, 1, 0))</f>
        <v>0</v>
      </c>
    </row>
    <row r="877" spans="1:12" x14ac:dyDescent="0.25">
      <c r="A877" s="2">
        <v>1876</v>
      </c>
      <c r="B877" s="21" t="s">
        <v>343</v>
      </c>
      <c r="C877" s="2" t="s">
        <v>367</v>
      </c>
      <c r="D877" s="2" t="s">
        <v>376</v>
      </c>
      <c r="E877" s="2" t="s">
        <v>381</v>
      </c>
      <c r="F877" s="2" t="s">
        <v>389</v>
      </c>
      <c r="G877" s="2">
        <v>2</v>
      </c>
      <c r="H877" s="2">
        <v>20000</v>
      </c>
      <c r="I877" s="2">
        <v>0.15</v>
      </c>
      <c r="J877" s="3">
        <f t="shared" si="14"/>
        <v>34000</v>
      </c>
      <c r="K877" s="2" t="str">
        <f>TEXT(Table4[OrderDate], "mmmm")</f>
        <v>November</v>
      </c>
      <c r="L877" s="2">
        <f>IF(C877 = "", 0, IF(COUNTIF($C$2:C877, C877) = 1, 1, 0))</f>
        <v>0</v>
      </c>
    </row>
    <row r="878" spans="1:12" x14ac:dyDescent="0.25">
      <c r="A878" s="2">
        <v>1877</v>
      </c>
      <c r="B878" s="21" t="s">
        <v>73</v>
      </c>
      <c r="C878" s="2" t="s">
        <v>372</v>
      </c>
      <c r="D878" s="2" t="s">
        <v>378</v>
      </c>
      <c r="E878" s="2" t="s">
        <v>388</v>
      </c>
      <c r="F878" s="2" t="s">
        <v>389</v>
      </c>
      <c r="G878" s="2">
        <v>2</v>
      </c>
      <c r="H878" s="2">
        <v>12000</v>
      </c>
      <c r="I878" s="2">
        <v>0.15</v>
      </c>
      <c r="J878" s="3">
        <f t="shared" si="14"/>
        <v>20400</v>
      </c>
      <c r="K878" s="2" t="str">
        <f>TEXT(Table4[OrderDate], "mmmm")</f>
        <v>July</v>
      </c>
      <c r="L878" s="2">
        <f>IF(C878 = "", 0, IF(COUNTIF($C$2:C878, C878) = 1, 1, 0))</f>
        <v>0</v>
      </c>
    </row>
    <row r="879" spans="1:12" x14ac:dyDescent="0.25">
      <c r="A879" s="2">
        <v>1878</v>
      </c>
      <c r="B879" s="21" t="s">
        <v>287</v>
      </c>
      <c r="C879" s="2" t="s">
        <v>362</v>
      </c>
      <c r="D879" s="2" t="s">
        <v>380</v>
      </c>
      <c r="E879" s="2" t="s">
        <v>385</v>
      </c>
      <c r="F879" s="2" t="s">
        <v>390</v>
      </c>
      <c r="G879" s="2">
        <v>4</v>
      </c>
      <c r="H879" s="2">
        <v>2000</v>
      </c>
      <c r="I879" s="2">
        <v>0</v>
      </c>
      <c r="J879" s="3">
        <f t="shared" si="14"/>
        <v>8000</v>
      </c>
      <c r="K879" s="2" t="str">
        <f>TEXT(Table4[OrderDate], "mmmm")</f>
        <v>September</v>
      </c>
      <c r="L879" s="2">
        <f>IF(C879 = "", 0, IF(COUNTIF($C$2:C879, C879) = 1, 1, 0))</f>
        <v>0</v>
      </c>
    </row>
    <row r="880" spans="1:12" x14ac:dyDescent="0.25">
      <c r="A880" s="2">
        <v>1879</v>
      </c>
      <c r="B880" s="21" t="s">
        <v>122</v>
      </c>
      <c r="C880" s="2" t="s">
        <v>368</v>
      </c>
      <c r="D880" s="2" t="s">
        <v>374</v>
      </c>
      <c r="E880" s="2" t="s">
        <v>388</v>
      </c>
      <c r="F880" s="2" t="s">
        <v>389</v>
      </c>
      <c r="G880" s="2">
        <v>1</v>
      </c>
      <c r="H880" s="2">
        <v>12000</v>
      </c>
      <c r="I880" s="2">
        <v>0.05</v>
      </c>
      <c r="J880" s="3">
        <f t="shared" si="14"/>
        <v>11400</v>
      </c>
      <c r="K880" s="2" t="str">
        <f>TEXT(Table4[OrderDate], "mmmm")</f>
        <v>September</v>
      </c>
      <c r="L880" s="2">
        <f>IF(C880 = "", 0, IF(COUNTIF($C$2:C880, C880) = 1, 1, 0))</f>
        <v>0</v>
      </c>
    </row>
    <row r="881" spans="1:12" x14ac:dyDescent="0.25">
      <c r="A881" s="2">
        <v>1434</v>
      </c>
      <c r="B881" s="21" t="s">
        <v>135</v>
      </c>
      <c r="C881" s="2" t="s">
        <v>368</v>
      </c>
      <c r="D881" s="2" t="s">
        <v>377</v>
      </c>
      <c r="E881" s="2" t="s">
        <v>385</v>
      </c>
      <c r="F881" s="2" t="s">
        <v>390</v>
      </c>
      <c r="G881" s="2">
        <v>5</v>
      </c>
      <c r="H881" s="2">
        <v>2000</v>
      </c>
      <c r="I881" s="2">
        <v>0.15</v>
      </c>
      <c r="J881" s="3">
        <f t="shared" si="14"/>
        <v>8500</v>
      </c>
      <c r="K881" s="2" t="str">
        <f>TEXT(Table4[OrderDate], "mmmm")</f>
        <v>November</v>
      </c>
      <c r="L881" s="2">
        <f>IF(C881 = "", 0, IF(COUNTIF($C$2:C881, C881) = 1, 1, 0))</f>
        <v>0</v>
      </c>
    </row>
    <row r="882" spans="1:12" x14ac:dyDescent="0.25">
      <c r="A882" s="2">
        <v>1881</v>
      </c>
      <c r="B882" s="21" t="s">
        <v>348</v>
      </c>
      <c r="C882" s="2" t="s">
        <v>369</v>
      </c>
      <c r="D882" s="2" t="s">
        <v>378</v>
      </c>
      <c r="E882" s="2" t="s">
        <v>383</v>
      </c>
      <c r="F882" s="2" t="s">
        <v>390</v>
      </c>
      <c r="G882" s="2">
        <v>3</v>
      </c>
      <c r="H882" s="2">
        <v>1500</v>
      </c>
      <c r="I882" s="2">
        <v>0.1</v>
      </c>
      <c r="J882" s="3">
        <f t="shared" si="14"/>
        <v>4050</v>
      </c>
      <c r="K882" s="2" t="str">
        <f>TEXT(Table4[OrderDate], "mmmm")</f>
        <v>August</v>
      </c>
      <c r="L882" s="2">
        <f>IF(C882 = "", 0, IF(COUNTIF($C$2:C882, C882) = 1, 1, 0))</f>
        <v>0</v>
      </c>
    </row>
    <row r="883" spans="1:12" x14ac:dyDescent="0.25">
      <c r="A883" s="2">
        <v>1558</v>
      </c>
      <c r="B883" s="21" t="s">
        <v>13</v>
      </c>
      <c r="C883" s="2" t="s">
        <v>357</v>
      </c>
      <c r="D883" s="2" t="s">
        <v>374</v>
      </c>
      <c r="E883" s="2" t="s">
        <v>385</v>
      </c>
      <c r="F883" s="2" t="s">
        <v>390</v>
      </c>
      <c r="G883" s="2">
        <v>5</v>
      </c>
      <c r="H883" s="2">
        <v>2000</v>
      </c>
      <c r="I883" s="2">
        <v>0.15</v>
      </c>
      <c r="J883" s="3">
        <f t="shared" si="14"/>
        <v>8500</v>
      </c>
      <c r="K883" s="2" t="str">
        <f>TEXT(Table4[OrderDate], "mmmm")</f>
        <v>October</v>
      </c>
      <c r="L883" s="2">
        <f>IF(C883 = "", 0, IF(COUNTIF($C$2:C883, C883) = 1, 1, 0))</f>
        <v>0</v>
      </c>
    </row>
    <row r="884" spans="1:12" x14ac:dyDescent="0.25">
      <c r="A884" s="2">
        <v>1883</v>
      </c>
      <c r="B884" s="21" t="s">
        <v>291</v>
      </c>
      <c r="C884" s="2" t="s">
        <v>361</v>
      </c>
      <c r="D884" s="2" t="s">
        <v>378</v>
      </c>
      <c r="E884" s="2" t="s">
        <v>388</v>
      </c>
      <c r="F884" s="2" t="s">
        <v>389</v>
      </c>
      <c r="G884" s="2">
        <v>1</v>
      </c>
      <c r="H884" s="2">
        <v>12000</v>
      </c>
      <c r="I884" s="2">
        <v>0</v>
      </c>
      <c r="J884" s="3">
        <f t="shared" si="14"/>
        <v>12000</v>
      </c>
      <c r="K884" s="2" t="str">
        <f>TEXT(Table4[OrderDate], "mmmm")</f>
        <v>April</v>
      </c>
      <c r="L884" s="2">
        <f>IF(C884 = "", 0, IF(COUNTIF($C$2:C884, C884) = 1, 1, 0))</f>
        <v>0</v>
      </c>
    </row>
    <row r="885" spans="1:12" x14ac:dyDescent="0.25">
      <c r="A885" s="2">
        <v>1884</v>
      </c>
      <c r="B885" s="21" t="s">
        <v>76</v>
      </c>
      <c r="C885" s="2" t="s">
        <v>369</v>
      </c>
      <c r="D885" s="2" t="s">
        <v>380</v>
      </c>
      <c r="E885" s="2" t="s">
        <v>383</v>
      </c>
      <c r="F885" s="2" t="s">
        <v>390</v>
      </c>
      <c r="G885" s="2">
        <v>3</v>
      </c>
      <c r="H885" s="2">
        <v>1500</v>
      </c>
      <c r="I885" s="2">
        <v>0.15</v>
      </c>
      <c r="J885" s="3">
        <f t="shared" si="14"/>
        <v>3825</v>
      </c>
      <c r="K885" s="2" t="str">
        <f>TEXT(Table4[OrderDate], "mmmm")</f>
        <v>January</v>
      </c>
      <c r="L885" s="2">
        <f>IF(C885 = "", 0, IF(COUNTIF($C$2:C885, C885) = 1, 1, 0))</f>
        <v>0</v>
      </c>
    </row>
    <row r="886" spans="1:12" x14ac:dyDescent="0.25">
      <c r="A886" s="2">
        <v>1885</v>
      </c>
      <c r="B886" s="21" t="s">
        <v>259</v>
      </c>
      <c r="C886" s="2" t="s">
        <v>366</v>
      </c>
      <c r="D886" s="2" t="s">
        <v>373</v>
      </c>
      <c r="E886" s="2" t="s">
        <v>387</v>
      </c>
      <c r="F886" s="2" t="s">
        <v>391</v>
      </c>
      <c r="G886" s="2">
        <v>4</v>
      </c>
      <c r="H886" s="2">
        <v>3000</v>
      </c>
      <c r="I886" s="2">
        <v>0</v>
      </c>
      <c r="J886" s="3">
        <f t="shared" si="14"/>
        <v>12000</v>
      </c>
      <c r="K886" s="2" t="str">
        <f>TEXT(Table4[OrderDate], "mmmm")</f>
        <v>May</v>
      </c>
      <c r="L886" s="2">
        <f>IF(C886 = "", 0, IF(COUNTIF($C$2:C886, C886) = 1, 1, 0))</f>
        <v>0</v>
      </c>
    </row>
    <row r="887" spans="1:12" x14ac:dyDescent="0.25">
      <c r="A887" s="2">
        <v>1886</v>
      </c>
      <c r="B887" s="21" t="s">
        <v>112</v>
      </c>
      <c r="C887" s="2" t="s">
        <v>363</v>
      </c>
      <c r="D887" s="2" t="s">
        <v>376</v>
      </c>
      <c r="E887" s="2" t="s">
        <v>381</v>
      </c>
      <c r="F887" s="2" t="s">
        <v>389</v>
      </c>
      <c r="G887" s="2">
        <v>1</v>
      </c>
      <c r="H887" s="2">
        <v>20000</v>
      </c>
      <c r="I887" s="2">
        <v>0</v>
      </c>
      <c r="J887" s="3">
        <f t="shared" si="14"/>
        <v>20000</v>
      </c>
      <c r="K887" s="2" t="str">
        <f>TEXT(Table4[OrderDate], "mmmm")</f>
        <v>December</v>
      </c>
      <c r="L887" s="2">
        <f>IF(C887 = "", 0, IF(COUNTIF($C$2:C887, C887) = 1, 1, 0))</f>
        <v>0</v>
      </c>
    </row>
    <row r="888" spans="1:12" x14ac:dyDescent="0.25">
      <c r="A888" s="2">
        <v>1649</v>
      </c>
      <c r="B888" s="21" t="s">
        <v>225</v>
      </c>
      <c r="C888" s="2" t="s">
        <v>357</v>
      </c>
      <c r="D888" s="2" t="s">
        <v>379</v>
      </c>
      <c r="E888" s="2" t="s">
        <v>385</v>
      </c>
      <c r="F888" s="2" t="s">
        <v>390</v>
      </c>
      <c r="G888" s="2">
        <v>5</v>
      </c>
      <c r="H888" s="2">
        <v>2000</v>
      </c>
      <c r="I888" s="2">
        <v>0.15</v>
      </c>
      <c r="J888" s="3">
        <f t="shared" si="14"/>
        <v>8500</v>
      </c>
      <c r="K888" s="2" t="str">
        <f>TEXT(Table4[OrderDate], "mmmm")</f>
        <v>August</v>
      </c>
      <c r="L888" s="2">
        <f>IF(C888 = "", 0, IF(COUNTIF($C$2:C888, C888) = 1, 1, 0))</f>
        <v>0</v>
      </c>
    </row>
    <row r="889" spans="1:12" x14ac:dyDescent="0.25">
      <c r="A889" s="2">
        <v>1888</v>
      </c>
      <c r="B889" s="21" t="s">
        <v>349</v>
      </c>
      <c r="C889" s="2" t="s">
        <v>361</v>
      </c>
      <c r="D889" s="2" t="s">
        <v>373</v>
      </c>
      <c r="E889" s="2" t="s">
        <v>383</v>
      </c>
      <c r="F889" s="2" t="s">
        <v>390</v>
      </c>
      <c r="G889" s="2">
        <v>1</v>
      </c>
      <c r="H889" s="2">
        <v>1500</v>
      </c>
      <c r="I889" s="2">
        <v>0.05</v>
      </c>
      <c r="J889" s="3">
        <f t="shared" si="14"/>
        <v>1425</v>
      </c>
      <c r="K889" s="2" t="str">
        <f>TEXT(Table4[OrderDate], "mmmm")</f>
        <v>June</v>
      </c>
      <c r="L889" s="2">
        <f>IF(C889 = "", 0, IF(COUNTIF($C$2:C889, C889) = 1, 1, 0))</f>
        <v>0</v>
      </c>
    </row>
    <row r="890" spans="1:12" x14ac:dyDescent="0.25">
      <c r="A890" s="2">
        <v>1889</v>
      </c>
      <c r="B890" s="21" t="s">
        <v>225</v>
      </c>
      <c r="C890" s="2" t="s">
        <v>370</v>
      </c>
      <c r="D890" s="2" t="s">
        <v>379</v>
      </c>
      <c r="E890" s="2" t="s">
        <v>384</v>
      </c>
      <c r="F890" s="2" t="s">
        <v>389</v>
      </c>
      <c r="G890" s="2">
        <v>2</v>
      </c>
      <c r="H890" s="2">
        <v>30000</v>
      </c>
      <c r="I890" s="2">
        <v>0</v>
      </c>
      <c r="J890" s="3">
        <f t="shared" si="14"/>
        <v>60000</v>
      </c>
      <c r="K890" s="2" t="str">
        <f>TEXT(Table4[OrderDate], "mmmm")</f>
        <v>August</v>
      </c>
      <c r="L890" s="2">
        <f>IF(C890 = "", 0, IF(COUNTIF($C$2:C890, C890) = 1, 1, 0))</f>
        <v>0</v>
      </c>
    </row>
    <row r="891" spans="1:12" x14ac:dyDescent="0.25">
      <c r="A891" s="2">
        <v>1890</v>
      </c>
      <c r="B891" s="21" t="s">
        <v>124</v>
      </c>
      <c r="C891" s="2" t="s">
        <v>361</v>
      </c>
      <c r="D891" s="2" t="s">
        <v>375</v>
      </c>
      <c r="E891" s="2" t="s">
        <v>388</v>
      </c>
      <c r="F891" s="2" t="s">
        <v>389</v>
      </c>
      <c r="G891" s="2">
        <v>3</v>
      </c>
      <c r="H891" s="2">
        <v>12000</v>
      </c>
      <c r="I891" s="2">
        <v>0.05</v>
      </c>
      <c r="J891" s="3">
        <f t="shared" si="14"/>
        <v>34200</v>
      </c>
      <c r="K891" s="2" t="str">
        <f>TEXT(Table4[OrderDate], "mmmm")</f>
        <v>March</v>
      </c>
      <c r="L891" s="2">
        <f>IF(C891 = "", 0, IF(COUNTIF($C$2:C891, C891) = 1, 1, 0))</f>
        <v>0</v>
      </c>
    </row>
    <row r="892" spans="1:12" x14ac:dyDescent="0.25">
      <c r="A892" s="2">
        <v>1019</v>
      </c>
      <c r="B892" s="21" t="s">
        <v>28</v>
      </c>
      <c r="C892" s="2" t="s">
        <v>368</v>
      </c>
      <c r="D892" s="2" t="s">
        <v>380</v>
      </c>
      <c r="E892" s="2" t="s">
        <v>383</v>
      </c>
      <c r="F892" s="2" t="s">
        <v>390</v>
      </c>
      <c r="G892" s="2">
        <v>5</v>
      </c>
      <c r="H892" s="2">
        <v>1500</v>
      </c>
      <c r="I892" s="2">
        <v>0</v>
      </c>
      <c r="J892" s="3">
        <f t="shared" si="14"/>
        <v>7500</v>
      </c>
      <c r="K892" s="2" t="str">
        <f>TEXT(Table4[OrderDate], "mmmm")</f>
        <v>July</v>
      </c>
      <c r="L892" s="2">
        <f>IF(C892 = "", 0, IF(COUNTIF($C$2:C892, C892) = 1, 1, 0))</f>
        <v>0</v>
      </c>
    </row>
    <row r="893" spans="1:12" x14ac:dyDescent="0.25">
      <c r="A893" s="2">
        <v>1137</v>
      </c>
      <c r="B893" s="21" t="s">
        <v>19</v>
      </c>
      <c r="C893" s="2" t="s">
        <v>365</v>
      </c>
      <c r="D893" s="2" t="s">
        <v>376</v>
      </c>
      <c r="E893" s="2" t="s">
        <v>383</v>
      </c>
      <c r="F893" s="2" t="s">
        <v>390</v>
      </c>
      <c r="G893" s="2">
        <v>5</v>
      </c>
      <c r="H893" s="2">
        <v>1500</v>
      </c>
      <c r="I893" s="2">
        <v>0</v>
      </c>
      <c r="J893" s="3">
        <f t="shared" si="14"/>
        <v>7500</v>
      </c>
      <c r="K893" s="2" t="str">
        <f>TEXT(Table4[OrderDate], "mmmm")</f>
        <v>August</v>
      </c>
      <c r="L893" s="2">
        <f>IF(C893 = "", 0, IF(COUNTIF($C$2:C893, C893) = 1, 1, 0))</f>
        <v>0</v>
      </c>
    </row>
    <row r="894" spans="1:12" x14ac:dyDescent="0.25">
      <c r="A894" s="2">
        <v>1189</v>
      </c>
      <c r="B894" s="21" t="s">
        <v>157</v>
      </c>
      <c r="C894" s="2" t="s">
        <v>367</v>
      </c>
      <c r="D894" s="2" t="s">
        <v>380</v>
      </c>
      <c r="E894" s="2" t="s">
        <v>383</v>
      </c>
      <c r="F894" s="2" t="s">
        <v>390</v>
      </c>
      <c r="G894" s="2">
        <v>5</v>
      </c>
      <c r="H894" s="2">
        <v>1500</v>
      </c>
      <c r="I894" s="2">
        <v>0</v>
      </c>
      <c r="J894" s="3">
        <f t="shared" si="14"/>
        <v>7500</v>
      </c>
      <c r="K894" s="2" t="str">
        <f>TEXT(Table4[OrderDate], "mmmm")</f>
        <v>February</v>
      </c>
      <c r="L894" s="2">
        <f>IF(C894 = "", 0, IF(COUNTIF($C$2:C894, C894) = 1, 1, 0))</f>
        <v>0</v>
      </c>
    </row>
    <row r="895" spans="1:12" x14ac:dyDescent="0.25">
      <c r="A895" s="2">
        <v>1287</v>
      </c>
      <c r="B895" s="21" t="s">
        <v>211</v>
      </c>
      <c r="C895" s="2" t="s">
        <v>361</v>
      </c>
      <c r="D895" s="2" t="s">
        <v>379</v>
      </c>
      <c r="E895" s="2" t="s">
        <v>383</v>
      </c>
      <c r="F895" s="2" t="s">
        <v>390</v>
      </c>
      <c r="G895" s="2">
        <v>5</v>
      </c>
      <c r="H895" s="2">
        <v>1500</v>
      </c>
      <c r="I895" s="2">
        <v>0</v>
      </c>
      <c r="J895" s="3">
        <f t="shared" si="14"/>
        <v>7500</v>
      </c>
      <c r="K895" s="2" t="str">
        <f>TEXT(Table4[OrderDate], "mmmm")</f>
        <v>March</v>
      </c>
      <c r="L895" s="2">
        <f>IF(C895 = "", 0, IF(COUNTIF($C$2:C895, C895) = 1, 1, 0))</f>
        <v>0</v>
      </c>
    </row>
    <row r="896" spans="1:12" x14ac:dyDescent="0.25">
      <c r="A896" s="2">
        <v>1895</v>
      </c>
      <c r="B896" s="21" t="s">
        <v>235</v>
      </c>
      <c r="C896" s="2" t="s">
        <v>364</v>
      </c>
      <c r="D896" s="2" t="s">
        <v>374</v>
      </c>
      <c r="E896" s="2" t="s">
        <v>382</v>
      </c>
      <c r="F896" s="2" t="s">
        <v>389</v>
      </c>
      <c r="G896" s="2">
        <v>2</v>
      </c>
      <c r="H896" s="2">
        <v>50000</v>
      </c>
      <c r="I896" s="2">
        <v>0.05</v>
      </c>
      <c r="J896" s="3">
        <f t="shared" si="14"/>
        <v>95000</v>
      </c>
      <c r="K896" s="2" t="str">
        <f>TEXT(Table4[OrderDate], "mmmm")</f>
        <v>January</v>
      </c>
      <c r="L896" s="2">
        <f>IF(C896 = "", 0, IF(COUNTIF($C$2:C896, C896) = 1, 1, 0))</f>
        <v>0</v>
      </c>
    </row>
    <row r="897" spans="1:12" x14ac:dyDescent="0.25">
      <c r="A897" s="2">
        <v>1896</v>
      </c>
      <c r="B897" s="21" t="s">
        <v>85</v>
      </c>
      <c r="C897" s="2" t="s">
        <v>365</v>
      </c>
      <c r="D897" s="2" t="s">
        <v>374</v>
      </c>
      <c r="E897" s="2" t="s">
        <v>384</v>
      </c>
      <c r="F897" s="2" t="s">
        <v>389</v>
      </c>
      <c r="G897" s="2">
        <v>1</v>
      </c>
      <c r="H897" s="2">
        <v>30000</v>
      </c>
      <c r="I897" s="2">
        <v>0.1</v>
      </c>
      <c r="J897" s="3">
        <f t="shared" si="14"/>
        <v>27000</v>
      </c>
      <c r="K897" s="2" t="str">
        <f>TEXT(Table4[OrderDate], "mmmm")</f>
        <v>June</v>
      </c>
      <c r="L897" s="2">
        <f>IF(C897 = "", 0, IF(COUNTIF($C$2:C897, C897) = 1, 1, 0))</f>
        <v>0</v>
      </c>
    </row>
    <row r="898" spans="1:12" x14ac:dyDescent="0.25">
      <c r="A898" s="2">
        <v>1897</v>
      </c>
      <c r="B898" s="21" t="s">
        <v>32</v>
      </c>
      <c r="C898" s="2" t="s">
        <v>370</v>
      </c>
      <c r="D898" s="2" t="s">
        <v>373</v>
      </c>
      <c r="E898" s="2" t="s">
        <v>381</v>
      </c>
      <c r="F898" s="2" t="s">
        <v>389</v>
      </c>
      <c r="G898" s="2">
        <v>4</v>
      </c>
      <c r="H898" s="2">
        <v>20000</v>
      </c>
      <c r="I898" s="2">
        <v>0.05</v>
      </c>
      <c r="J898" s="3">
        <f t="shared" ref="J898:J961" si="15">H898*(1-I898)*G898</f>
        <v>76000</v>
      </c>
      <c r="K898" s="2" t="str">
        <f>TEXT(Table4[OrderDate], "mmmm")</f>
        <v>March</v>
      </c>
      <c r="L898" s="2">
        <f>IF(C898 = "", 0, IF(COUNTIF($C$2:C898, C898) = 1, 1, 0))</f>
        <v>0</v>
      </c>
    </row>
    <row r="899" spans="1:12" x14ac:dyDescent="0.25">
      <c r="A899" s="2">
        <v>1582</v>
      </c>
      <c r="B899" s="21" t="s">
        <v>290</v>
      </c>
      <c r="C899" s="2" t="s">
        <v>359</v>
      </c>
      <c r="D899" s="2" t="s">
        <v>380</v>
      </c>
      <c r="E899" s="2" t="s">
        <v>383</v>
      </c>
      <c r="F899" s="2" t="s">
        <v>390</v>
      </c>
      <c r="G899" s="2">
        <v>5</v>
      </c>
      <c r="H899" s="2">
        <v>1500</v>
      </c>
      <c r="I899" s="2">
        <v>0</v>
      </c>
      <c r="J899" s="3">
        <f t="shared" si="15"/>
        <v>7500</v>
      </c>
      <c r="K899" s="2" t="str">
        <f>TEXT(Table4[OrderDate], "mmmm")</f>
        <v>December</v>
      </c>
      <c r="L899" s="2">
        <f>IF(C899 = "", 0, IF(COUNTIF($C$2:C899, C899) = 1, 1, 0))</f>
        <v>0</v>
      </c>
    </row>
    <row r="900" spans="1:12" x14ac:dyDescent="0.25">
      <c r="A900" s="2">
        <v>1899</v>
      </c>
      <c r="B900" s="21" t="s">
        <v>196</v>
      </c>
      <c r="C900" s="2" t="s">
        <v>358</v>
      </c>
      <c r="D900" s="2" t="s">
        <v>377</v>
      </c>
      <c r="E900" s="2" t="s">
        <v>385</v>
      </c>
      <c r="F900" s="2" t="s">
        <v>390</v>
      </c>
      <c r="G900" s="2">
        <v>3</v>
      </c>
      <c r="H900" s="2">
        <v>2000</v>
      </c>
      <c r="I900" s="2">
        <v>0.15</v>
      </c>
      <c r="J900" s="3">
        <f t="shared" si="15"/>
        <v>5100</v>
      </c>
      <c r="K900" s="2" t="str">
        <f>TEXT(Table4[OrderDate], "mmmm")</f>
        <v>February</v>
      </c>
      <c r="L900" s="2">
        <f>IF(C900 = "", 0, IF(COUNTIF($C$2:C900, C900) = 1, 1, 0))</f>
        <v>0</v>
      </c>
    </row>
    <row r="901" spans="1:12" x14ac:dyDescent="0.25">
      <c r="A901" s="2">
        <v>1900</v>
      </c>
      <c r="B901" s="21" t="s">
        <v>194</v>
      </c>
      <c r="C901" s="2" t="s">
        <v>360</v>
      </c>
      <c r="D901" s="2" t="s">
        <v>376</v>
      </c>
      <c r="E901" s="2" t="s">
        <v>386</v>
      </c>
      <c r="F901" s="2" t="s">
        <v>391</v>
      </c>
      <c r="G901" s="2">
        <v>4</v>
      </c>
      <c r="H901" s="2">
        <v>7000</v>
      </c>
      <c r="I901" s="2">
        <v>0.05</v>
      </c>
      <c r="J901" s="3">
        <f t="shared" si="15"/>
        <v>26600</v>
      </c>
      <c r="K901" s="2" t="str">
        <f>TEXT(Table4[OrderDate], "mmmm")</f>
        <v>March</v>
      </c>
      <c r="L901" s="2">
        <f>IF(C901 = "", 0, IF(COUNTIF($C$2:C901, C901) = 1, 1, 0))</f>
        <v>0</v>
      </c>
    </row>
    <row r="902" spans="1:12" x14ac:dyDescent="0.25">
      <c r="A902" s="2">
        <v>1858</v>
      </c>
      <c r="B902" s="21" t="s">
        <v>271</v>
      </c>
      <c r="C902" s="2" t="s">
        <v>367</v>
      </c>
      <c r="D902" s="2" t="s">
        <v>377</v>
      </c>
      <c r="E902" s="2" t="s">
        <v>383</v>
      </c>
      <c r="F902" s="2" t="s">
        <v>390</v>
      </c>
      <c r="G902" s="2">
        <v>5</v>
      </c>
      <c r="H902" s="2">
        <v>1500</v>
      </c>
      <c r="I902" s="2">
        <v>0</v>
      </c>
      <c r="J902" s="3">
        <f t="shared" si="15"/>
        <v>7500</v>
      </c>
      <c r="K902" s="2" t="str">
        <f>TEXT(Table4[OrderDate], "mmmm")</f>
        <v>June</v>
      </c>
      <c r="L902" s="2">
        <f>IF(C902 = "", 0, IF(COUNTIF($C$2:C902, C902) = 1, 1, 0))</f>
        <v>0</v>
      </c>
    </row>
    <row r="903" spans="1:12" x14ac:dyDescent="0.25">
      <c r="A903" s="2">
        <v>1880</v>
      </c>
      <c r="B903" s="21" t="s">
        <v>340</v>
      </c>
      <c r="C903" s="2" t="s">
        <v>370</v>
      </c>
      <c r="D903" s="2" t="s">
        <v>380</v>
      </c>
      <c r="E903" s="2" t="s">
        <v>383</v>
      </c>
      <c r="F903" s="2" t="s">
        <v>390</v>
      </c>
      <c r="G903" s="2">
        <v>5</v>
      </c>
      <c r="H903" s="2">
        <v>1500</v>
      </c>
      <c r="I903" s="2">
        <v>0</v>
      </c>
      <c r="J903" s="3">
        <f t="shared" si="15"/>
        <v>7500</v>
      </c>
      <c r="K903" s="2" t="str">
        <f>TEXT(Table4[OrderDate], "mmmm")</f>
        <v>April</v>
      </c>
      <c r="L903" s="2">
        <f>IF(C903 = "", 0, IF(COUNTIF($C$2:C903, C903) = 1, 1, 0))</f>
        <v>0</v>
      </c>
    </row>
    <row r="904" spans="1:12" x14ac:dyDescent="0.25">
      <c r="A904" s="2">
        <v>1903</v>
      </c>
      <c r="B904" s="21" t="s">
        <v>57</v>
      </c>
      <c r="C904" s="2" t="s">
        <v>367</v>
      </c>
      <c r="D904" s="2" t="s">
        <v>380</v>
      </c>
      <c r="E904" s="2" t="s">
        <v>385</v>
      </c>
      <c r="F904" s="2" t="s">
        <v>390</v>
      </c>
      <c r="G904" s="2">
        <v>3</v>
      </c>
      <c r="H904" s="2">
        <v>2000</v>
      </c>
      <c r="I904" s="2">
        <v>0.1</v>
      </c>
      <c r="J904" s="3">
        <f t="shared" si="15"/>
        <v>5400</v>
      </c>
      <c r="K904" s="2" t="str">
        <f>TEXT(Table4[OrderDate], "mmmm")</f>
        <v>March</v>
      </c>
      <c r="L904" s="2">
        <f>IF(C904 = "", 0, IF(COUNTIF($C$2:C904, C904) = 1, 1, 0))</f>
        <v>0</v>
      </c>
    </row>
    <row r="905" spans="1:12" x14ac:dyDescent="0.25">
      <c r="A905" s="2">
        <v>1904</v>
      </c>
      <c r="B905" s="21" t="s">
        <v>70</v>
      </c>
      <c r="C905" s="2" t="s">
        <v>370</v>
      </c>
      <c r="D905" s="2" t="s">
        <v>375</v>
      </c>
      <c r="E905" s="2" t="s">
        <v>388</v>
      </c>
      <c r="F905" s="2" t="s">
        <v>389</v>
      </c>
      <c r="G905" s="2">
        <v>2</v>
      </c>
      <c r="H905" s="2">
        <v>12000</v>
      </c>
      <c r="I905" s="2">
        <v>0.05</v>
      </c>
      <c r="J905" s="3">
        <f t="shared" si="15"/>
        <v>22800</v>
      </c>
      <c r="K905" s="2" t="str">
        <f>TEXT(Table4[OrderDate], "mmmm")</f>
        <v>December</v>
      </c>
      <c r="L905" s="2">
        <f>IF(C905 = "", 0, IF(COUNTIF($C$2:C905, C905) = 1, 1, 0))</f>
        <v>0</v>
      </c>
    </row>
    <row r="906" spans="1:12" x14ac:dyDescent="0.25">
      <c r="A906" s="2">
        <v>1905</v>
      </c>
      <c r="B906" s="21" t="s">
        <v>137</v>
      </c>
      <c r="C906" s="2" t="s">
        <v>362</v>
      </c>
      <c r="D906" s="2" t="s">
        <v>375</v>
      </c>
      <c r="E906" s="2" t="s">
        <v>382</v>
      </c>
      <c r="F906" s="2" t="s">
        <v>389</v>
      </c>
      <c r="G906" s="2">
        <v>1</v>
      </c>
      <c r="H906" s="2">
        <v>50000</v>
      </c>
      <c r="I906" s="2">
        <v>0</v>
      </c>
      <c r="J906" s="3">
        <f t="shared" si="15"/>
        <v>50000</v>
      </c>
      <c r="K906" s="2" t="str">
        <f>TEXT(Table4[OrderDate], "mmmm")</f>
        <v>August</v>
      </c>
      <c r="L906" s="2">
        <f>IF(C906 = "", 0, IF(COUNTIF($C$2:C906, C906) = 1, 1, 0))</f>
        <v>0</v>
      </c>
    </row>
    <row r="907" spans="1:12" x14ac:dyDescent="0.25">
      <c r="A907" s="2">
        <v>1906</v>
      </c>
      <c r="B907" s="21" t="s">
        <v>120</v>
      </c>
      <c r="C907" s="2" t="s">
        <v>364</v>
      </c>
      <c r="D907" s="2" t="s">
        <v>375</v>
      </c>
      <c r="E907" s="2" t="s">
        <v>383</v>
      </c>
      <c r="F907" s="2" t="s">
        <v>390</v>
      </c>
      <c r="G907" s="2">
        <v>4</v>
      </c>
      <c r="H907" s="2">
        <v>1500</v>
      </c>
      <c r="I907" s="2">
        <v>0</v>
      </c>
      <c r="J907" s="3">
        <f t="shared" si="15"/>
        <v>6000</v>
      </c>
      <c r="K907" s="2" t="str">
        <f>TEXT(Table4[OrderDate], "mmmm")</f>
        <v>June</v>
      </c>
      <c r="L907" s="2">
        <f>IF(C907 = "", 0, IF(COUNTIF($C$2:C907, C907) = 1, 1, 0))</f>
        <v>0</v>
      </c>
    </row>
    <row r="908" spans="1:12" x14ac:dyDescent="0.25">
      <c r="A908" s="2">
        <v>1907</v>
      </c>
      <c r="B908" s="21" t="s">
        <v>245</v>
      </c>
      <c r="C908" s="2" t="s">
        <v>365</v>
      </c>
      <c r="D908" s="2" t="s">
        <v>379</v>
      </c>
      <c r="E908" s="2" t="s">
        <v>382</v>
      </c>
      <c r="F908" s="2" t="s">
        <v>389</v>
      </c>
      <c r="G908" s="2">
        <v>2</v>
      </c>
      <c r="H908" s="2">
        <v>50000</v>
      </c>
      <c r="I908" s="2">
        <v>0.1</v>
      </c>
      <c r="J908" s="3">
        <f t="shared" si="15"/>
        <v>90000</v>
      </c>
      <c r="K908" s="2" t="str">
        <f>TEXT(Table4[OrderDate], "mmmm")</f>
        <v>May</v>
      </c>
      <c r="L908" s="2">
        <f>IF(C908 = "", 0, IF(COUNTIF($C$2:C908, C908) = 1, 1, 0))</f>
        <v>0</v>
      </c>
    </row>
    <row r="909" spans="1:12" x14ac:dyDescent="0.25">
      <c r="A909" s="2">
        <v>1921</v>
      </c>
      <c r="B909" s="21" t="s">
        <v>327</v>
      </c>
      <c r="C909" s="2" t="s">
        <v>370</v>
      </c>
      <c r="D909" s="2" t="s">
        <v>374</v>
      </c>
      <c r="E909" s="2" t="s">
        <v>383</v>
      </c>
      <c r="F909" s="2" t="s">
        <v>390</v>
      </c>
      <c r="G909" s="2">
        <v>5</v>
      </c>
      <c r="H909" s="2">
        <v>1500</v>
      </c>
      <c r="I909" s="2">
        <v>0</v>
      </c>
      <c r="J909" s="3">
        <f t="shared" si="15"/>
        <v>7500</v>
      </c>
      <c r="K909" s="2" t="str">
        <f>TEXT(Table4[OrderDate], "mmmm")</f>
        <v>January</v>
      </c>
      <c r="L909" s="2">
        <f>IF(C909 = "", 0, IF(COUNTIF($C$2:C909, C909) = 1, 1, 0))</f>
        <v>0</v>
      </c>
    </row>
    <row r="910" spans="1:12" x14ac:dyDescent="0.25">
      <c r="A910" s="2">
        <v>1909</v>
      </c>
      <c r="B910" s="21" t="s">
        <v>118</v>
      </c>
      <c r="C910" s="2" t="s">
        <v>371</v>
      </c>
      <c r="D910" s="2" t="s">
        <v>376</v>
      </c>
      <c r="E910" s="2" t="s">
        <v>385</v>
      </c>
      <c r="F910" s="2" t="s">
        <v>390</v>
      </c>
      <c r="G910" s="2">
        <v>4</v>
      </c>
      <c r="H910" s="2">
        <v>2000</v>
      </c>
      <c r="I910" s="2">
        <v>0</v>
      </c>
      <c r="J910" s="3">
        <f t="shared" si="15"/>
        <v>8000</v>
      </c>
      <c r="K910" s="2" t="str">
        <f>TEXT(Table4[OrderDate], "mmmm")</f>
        <v>March</v>
      </c>
      <c r="L910" s="2">
        <f>IF(C910 = "", 0, IF(COUNTIF($C$2:C910, C910) = 1, 1, 0))</f>
        <v>0</v>
      </c>
    </row>
    <row r="911" spans="1:12" x14ac:dyDescent="0.25">
      <c r="A911" s="2">
        <v>1910</v>
      </c>
      <c r="B911" s="21" t="s">
        <v>351</v>
      </c>
      <c r="C911" s="2" t="s">
        <v>361</v>
      </c>
      <c r="D911" s="2" t="s">
        <v>380</v>
      </c>
      <c r="E911" s="2" t="s">
        <v>385</v>
      </c>
      <c r="F911" s="2" t="s">
        <v>390</v>
      </c>
      <c r="G911" s="2">
        <v>4</v>
      </c>
      <c r="H911" s="2">
        <v>2000</v>
      </c>
      <c r="I911" s="2">
        <v>0.15</v>
      </c>
      <c r="J911" s="3">
        <f t="shared" si="15"/>
        <v>6800</v>
      </c>
      <c r="K911" s="2" t="str">
        <f>TEXT(Table4[OrderDate], "mmmm")</f>
        <v>January</v>
      </c>
      <c r="L911" s="2">
        <f>IF(C911 = "", 0, IF(COUNTIF($C$2:C911, C911) = 1, 1, 0))</f>
        <v>0</v>
      </c>
    </row>
    <row r="912" spans="1:12" x14ac:dyDescent="0.25">
      <c r="A912" s="2">
        <v>1911</v>
      </c>
      <c r="B912" s="21" t="s">
        <v>348</v>
      </c>
      <c r="C912" s="2" t="s">
        <v>358</v>
      </c>
      <c r="D912" s="2" t="s">
        <v>374</v>
      </c>
      <c r="E912" s="2" t="s">
        <v>384</v>
      </c>
      <c r="F912" s="2" t="s">
        <v>389</v>
      </c>
      <c r="G912" s="2">
        <v>4</v>
      </c>
      <c r="H912" s="2">
        <v>30000</v>
      </c>
      <c r="I912" s="2">
        <v>0.1</v>
      </c>
      <c r="J912" s="3">
        <f t="shared" si="15"/>
        <v>108000</v>
      </c>
      <c r="K912" s="2" t="str">
        <f>TEXT(Table4[OrderDate], "mmmm")</f>
        <v>August</v>
      </c>
      <c r="L912" s="2">
        <f>IF(C912 = "", 0, IF(COUNTIF($C$2:C912, C912) = 1, 1, 0))</f>
        <v>0</v>
      </c>
    </row>
    <row r="913" spans="1:12" x14ac:dyDescent="0.25">
      <c r="A913" s="2">
        <v>1179</v>
      </c>
      <c r="B913" s="21" t="s">
        <v>125</v>
      </c>
      <c r="C913" s="2" t="s">
        <v>362</v>
      </c>
      <c r="D913" s="2" t="s">
        <v>380</v>
      </c>
      <c r="E913" s="2" t="s">
        <v>383</v>
      </c>
      <c r="F913" s="2" t="s">
        <v>390</v>
      </c>
      <c r="G913" s="2">
        <v>5</v>
      </c>
      <c r="H913" s="2">
        <v>1500</v>
      </c>
      <c r="I913" s="2">
        <v>0.05</v>
      </c>
      <c r="J913" s="3">
        <f t="shared" si="15"/>
        <v>7125</v>
      </c>
      <c r="K913" s="2" t="str">
        <f>TEXT(Table4[OrderDate], "mmmm")</f>
        <v>July</v>
      </c>
      <c r="L913" s="2">
        <f>IF(C913 = "", 0, IF(COUNTIF($C$2:C913, C913) = 1, 1, 0))</f>
        <v>0</v>
      </c>
    </row>
    <row r="914" spans="1:12" x14ac:dyDescent="0.25">
      <c r="A914" s="2">
        <v>1913</v>
      </c>
      <c r="B914" s="21" t="s">
        <v>128</v>
      </c>
      <c r="C914" s="2" t="s">
        <v>360</v>
      </c>
      <c r="D914" s="2" t="s">
        <v>374</v>
      </c>
      <c r="E914" s="2" t="s">
        <v>385</v>
      </c>
      <c r="F914" s="2" t="s">
        <v>390</v>
      </c>
      <c r="G914" s="2">
        <v>3</v>
      </c>
      <c r="H914" s="2">
        <v>2000</v>
      </c>
      <c r="I914" s="2">
        <v>0</v>
      </c>
      <c r="J914" s="3">
        <f t="shared" si="15"/>
        <v>6000</v>
      </c>
      <c r="K914" s="2" t="str">
        <f>TEXT(Table4[OrderDate], "mmmm")</f>
        <v>March</v>
      </c>
      <c r="L914" s="2">
        <f>IF(C914 = "", 0, IF(COUNTIF($C$2:C914, C914) = 1, 1, 0))</f>
        <v>0</v>
      </c>
    </row>
    <row r="915" spans="1:12" x14ac:dyDescent="0.25">
      <c r="A915" s="2">
        <v>1914</v>
      </c>
      <c r="B915" s="21" t="s">
        <v>140</v>
      </c>
      <c r="C915" s="2" t="s">
        <v>368</v>
      </c>
      <c r="D915" s="2" t="s">
        <v>373</v>
      </c>
      <c r="E915" s="2" t="s">
        <v>385</v>
      </c>
      <c r="F915" s="2" t="s">
        <v>390</v>
      </c>
      <c r="G915" s="2">
        <v>4</v>
      </c>
      <c r="H915" s="2">
        <v>2000</v>
      </c>
      <c r="I915" s="2">
        <v>0.05</v>
      </c>
      <c r="J915" s="3">
        <f t="shared" si="15"/>
        <v>7600</v>
      </c>
      <c r="K915" s="2" t="str">
        <f>TEXT(Table4[OrderDate], "mmmm")</f>
        <v>October</v>
      </c>
      <c r="L915" s="2">
        <f>IF(C915 = "", 0, IF(COUNTIF($C$2:C915, C915) = 1, 1, 0))</f>
        <v>0</v>
      </c>
    </row>
    <row r="916" spans="1:12" x14ac:dyDescent="0.25">
      <c r="A916" s="2">
        <v>1915</v>
      </c>
      <c r="B916" s="21" t="s">
        <v>212</v>
      </c>
      <c r="C916" s="2" t="s">
        <v>372</v>
      </c>
      <c r="D916" s="2" t="s">
        <v>379</v>
      </c>
      <c r="E916" s="2" t="s">
        <v>381</v>
      </c>
      <c r="F916" s="2" t="s">
        <v>389</v>
      </c>
      <c r="G916" s="2">
        <v>3</v>
      </c>
      <c r="H916" s="2">
        <v>20000</v>
      </c>
      <c r="I916" s="2">
        <v>0.1</v>
      </c>
      <c r="J916" s="3">
        <f t="shared" si="15"/>
        <v>54000</v>
      </c>
      <c r="K916" s="2" t="str">
        <f>TEXT(Table4[OrderDate], "mmmm")</f>
        <v>December</v>
      </c>
      <c r="L916" s="2">
        <f>IF(C916 = "", 0, IF(COUNTIF($C$2:C916, C916) = 1, 1, 0))</f>
        <v>0</v>
      </c>
    </row>
    <row r="917" spans="1:12" x14ac:dyDescent="0.25">
      <c r="A917" s="2">
        <v>1916</v>
      </c>
      <c r="B917" s="21" t="s">
        <v>244</v>
      </c>
      <c r="C917" s="2" t="s">
        <v>364</v>
      </c>
      <c r="D917" s="2" t="s">
        <v>380</v>
      </c>
      <c r="E917" s="2" t="s">
        <v>383</v>
      </c>
      <c r="F917" s="2" t="s">
        <v>390</v>
      </c>
      <c r="G917" s="2">
        <v>1</v>
      </c>
      <c r="H917" s="2">
        <v>1500</v>
      </c>
      <c r="I917" s="2">
        <v>0.15</v>
      </c>
      <c r="J917" s="3">
        <f t="shared" si="15"/>
        <v>1275</v>
      </c>
      <c r="K917" s="2" t="str">
        <f>TEXT(Table4[OrderDate], "mmmm")</f>
        <v>May</v>
      </c>
      <c r="L917" s="2">
        <f>IF(C917 = "", 0, IF(COUNTIF($C$2:C917, C917) = 1, 1, 0))</f>
        <v>0</v>
      </c>
    </row>
    <row r="918" spans="1:12" x14ac:dyDescent="0.25">
      <c r="A918" s="2">
        <v>1917</v>
      </c>
      <c r="B918" s="21" t="s">
        <v>118</v>
      </c>
      <c r="C918" s="2" t="s">
        <v>362</v>
      </c>
      <c r="D918" s="2" t="s">
        <v>376</v>
      </c>
      <c r="E918" s="2" t="s">
        <v>386</v>
      </c>
      <c r="F918" s="2" t="s">
        <v>391</v>
      </c>
      <c r="G918" s="2">
        <v>2</v>
      </c>
      <c r="H918" s="2">
        <v>7000</v>
      </c>
      <c r="I918" s="2">
        <v>0.1</v>
      </c>
      <c r="J918" s="3">
        <f t="shared" si="15"/>
        <v>12600</v>
      </c>
      <c r="K918" s="2" t="str">
        <f>TEXT(Table4[OrderDate], "mmmm")</f>
        <v>March</v>
      </c>
      <c r="L918" s="2">
        <f>IF(C918 = "", 0, IF(COUNTIF($C$2:C918, C918) = 1, 1, 0))</f>
        <v>0</v>
      </c>
    </row>
    <row r="919" spans="1:12" x14ac:dyDescent="0.25">
      <c r="A919" s="2">
        <v>1918</v>
      </c>
      <c r="B919" s="21" t="s">
        <v>204</v>
      </c>
      <c r="C919" s="2" t="s">
        <v>359</v>
      </c>
      <c r="D919" s="2" t="s">
        <v>380</v>
      </c>
      <c r="E919" s="2" t="s">
        <v>382</v>
      </c>
      <c r="F919" s="2" t="s">
        <v>389</v>
      </c>
      <c r="G919" s="2">
        <v>2</v>
      </c>
      <c r="H919" s="2">
        <v>50000</v>
      </c>
      <c r="I919" s="2">
        <v>0</v>
      </c>
      <c r="J919" s="3">
        <f t="shared" si="15"/>
        <v>100000</v>
      </c>
      <c r="K919" s="2" t="str">
        <f>TEXT(Table4[OrderDate], "mmmm")</f>
        <v>August</v>
      </c>
      <c r="L919" s="2">
        <f>IF(C919 = "", 0, IF(COUNTIF($C$2:C919, C919) = 1, 1, 0))</f>
        <v>0</v>
      </c>
    </row>
    <row r="920" spans="1:12" x14ac:dyDescent="0.25">
      <c r="A920" s="2">
        <v>1919</v>
      </c>
      <c r="B920" s="21" t="s">
        <v>215</v>
      </c>
      <c r="C920" s="2" t="s">
        <v>370</v>
      </c>
      <c r="D920" s="2" t="s">
        <v>376</v>
      </c>
      <c r="E920" s="2" t="s">
        <v>384</v>
      </c>
      <c r="F920" s="2" t="s">
        <v>389</v>
      </c>
      <c r="G920" s="2">
        <v>2</v>
      </c>
      <c r="H920" s="2">
        <v>30000</v>
      </c>
      <c r="I920" s="2">
        <v>0.1</v>
      </c>
      <c r="J920" s="3">
        <f t="shared" si="15"/>
        <v>54000</v>
      </c>
      <c r="K920" s="2" t="str">
        <f>TEXT(Table4[OrderDate], "mmmm")</f>
        <v>September</v>
      </c>
      <c r="L920" s="2">
        <f>IF(C920 = "", 0, IF(COUNTIF($C$2:C920, C920) = 1, 1, 0))</f>
        <v>0</v>
      </c>
    </row>
    <row r="921" spans="1:12" x14ac:dyDescent="0.25">
      <c r="A921" s="2">
        <v>1920</v>
      </c>
      <c r="B921" s="21" t="s">
        <v>276</v>
      </c>
      <c r="C921" s="2" t="s">
        <v>372</v>
      </c>
      <c r="D921" s="2" t="s">
        <v>380</v>
      </c>
      <c r="E921" s="2" t="s">
        <v>384</v>
      </c>
      <c r="F921" s="2" t="s">
        <v>389</v>
      </c>
      <c r="G921" s="2">
        <v>1</v>
      </c>
      <c r="H921" s="2">
        <v>30000</v>
      </c>
      <c r="I921" s="2">
        <v>0.05</v>
      </c>
      <c r="J921" s="3">
        <f t="shared" si="15"/>
        <v>28500</v>
      </c>
      <c r="K921" s="2" t="str">
        <f>TEXT(Table4[OrderDate], "mmmm")</f>
        <v>April</v>
      </c>
      <c r="L921" s="2">
        <f>IF(C921 = "", 0, IF(COUNTIF($C$2:C921, C921) = 1, 1, 0))</f>
        <v>0</v>
      </c>
    </row>
    <row r="922" spans="1:12" x14ac:dyDescent="0.25">
      <c r="A922" s="2">
        <v>1377</v>
      </c>
      <c r="B922" s="21" t="s">
        <v>205</v>
      </c>
      <c r="C922" s="2" t="s">
        <v>366</v>
      </c>
      <c r="D922" s="2" t="s">
        <v>379</v>
      </c>
      <c r="E922" s="2" t="s">
        <v>383</v>
      </c>
      <c r="F922" s="2" t="s">
        <v>390</v>
      </c>
      <c r="G922" s="2">
        <v>5</v>
      </c>
      <c r="H922" s="2">
        <v>1500</v>
      </c>
      <c r="I922" s="2">
        <v>0.05</v>
      </c>
      <c r="J922" s="3">
        <f t="shared" si="15"/>
        <v>7125</v>
      </c>
      <c r="K922" s="2" t="str">
        <f>TEXT(Table4[OrderDate], "mmmm")</f>
        <v>September</v>
      </c>
      <c r="L922" s="2">
        <f>IF(C922 = "", 0, IF(COUNTIF($C$2:C922, C922) = 1, 1, 0))</f>
        <v>0</v>
      </c>
    </row>
    <row r="923" spans="1:12" x14ac:dyDescent="0.25">
      <c r="A923" s="2">
        <v>1922</v>
      </c>
      <c r="B923" s="21" t="s">
        <v>352</v>
      </c>
      <c r="C923" s="2" t="s">
        <v>362</v>
      </c>
      <c r="D923" s="2" t="s">
        <v>379</v>
      </c>
      <c r="E923" s="2" t="s">
        <v>381</v>
      </c>
      <c r="F923" s="2" t="s">
        <v>389</v>
      </c>
      <c r="G923" s="2">
        <v>3</v>
      </c>
      <c r="H923" s="2">
        <v>20000</v>
      </c>
      <c r="I923" s="2">
        <v>0.15</v>
      </c>
      <c r="J923" s="3">
        <f t="shared" si="15"/>
        <v>51000</v>
      </c>
      <c r="K923" s="2" t="str">
        <f>TEXT(Table4[OrderDate], "mmmm")</f>
        <v>January</v>
      </c>
      <c r="L923" s="2">
        <f>IF(C923 = "", 0, IF(COUNTIF($C$2:C923, C923) = 1, 1, 0))</f>
        <v>0</v>
      </c>
    </row>
    <row r="924" spans="1:12" x14ac:dyDescent="0.25">
      <c r="A924" s="2">
        <v>1411</v>
      </c>
      <c r="B924" s="21" t="s">
        <v>261</v>
      </c>
      <c r="C924" s="2" t="s">
        <v>366</v>
      </c>
      <c r="D924" s="2" t="s">
        <v>375</v>
      </c>
      <c r="E924" s="2" t="s">
        <v>383</v>
      </c>
      <c r="F924" s="2" t="s">
        <v>390</v>
      </c>
      <c r="G924" s="2">
        <v>5</v>
      </c>
      <c r="H924" s="2">
        <v>1500</v>
      </c>
      <c r="I924" s="2">
        <v>0.05</v>
      </c>
      <c r="J924" s="3">
        <f t="shared" si="15"/>
        <v>7125</v>
      </c>
      <c r="K924" s="2" t="str">
        <f>TEXT(Table4[OrderDate], "mmmm")</f>
        <v>June</v>
      </c>
      <c r="L924" s="2">
        <f>IF(C924 = "", 0, IF(COUNTIF($C$2:C924, C924) = 1, 1, 0))</f>
        <v>0</v>
      </c>
    </row>
    <row r="925" spans="1:12" x14ac:dyDescent="0.25">
      <c r="A925" s="2">
        <v>1924</v>
      </c>
      <c r="B925" s="21" t="s">
        <v>153</v>
      </c>
      <c r="C925" s="2" t="s">
        <v>366</v>
      </c>
      <c r="D925" s="2" t="s">
        <v>380</v>
      </c>
      <c r="E925" s="2" t="s">
        <v>387</v>
      </c>
      <c r="F925" s="2" t="s">
        <v>391</v>
      </c>
      <c r="G925" s="2">
        <v>2</v>
      </c>
      <c r="H925" s="2">
        <v>3000</v>
      </c>
      <c r="I925" s="2">
        <v>0.1</v>
      </c>
      <c r="J925" s="3">
        <f t="shared" si="15"/>
        <v>5400</v>
      </c>
      <c r="K925" s="2" t="str">
        <f>TEXT(Table4[OrderDate], "mmmm")</f>
        <v>May</v>
      </c>
      <c r="L925" s="2">
        <f>IF(C925 = "", 0, IF(COUNTIF($C$2:C925, C925) = 1, 1, 0))</f>
        <v>0</v>
      </c>
    </row>
    <row r="926" spans="1:12" x14ac:dyDescent="0.25">
      <c r="A926" s="2">
        <v>1925</v>
      </c>
      <c r="B926" s="21" t="s">
        <v>52</v>
      </c>
      <c r="C926" s="2" t="s">
        <v>360</v>
      </c>
      <c r="D926" s="2" t="s">
        <v>377</v>
      </c>
      <c r="E926" s="2" t="s">
        <v>381</v>
      </c>
      <c r="F926" s="2" t="s">
        <v>389</v>
      </c>
      <c r="G926" s="2">
        <v>3</v>
      </c>
      <c r="H926" s="2">
        <v>20000</v>
      </c>
      <c r="I926" s="2">
        <v>0.05</v>
      </c>
      <c r="J926" s="3">
        <f t="shared" si="15"/>
        <v>57000</v>
      </c>
      <c r="K926" s="2" t="str">
        <f>TEXT(Table4[OrderDate], "mmmm")</f>
        <v>March</v>
      </c>
      <c r="L926" s="2">
        <f>IF(C926 = "", 0, IF(COUNTIF($C$2:C926, C926) = 1, 1, 0))</f>
        <v>0</v>
      </c>
    </row>
    <row r="927" spans="1:12" x14ac:dyDescent="0.25">
      <c r="A927" s="2">
        <v>1438</v>
      </c>
      <c r="B927" s="21" t="s">
        <v>270</v>
      </c>
      <c r="C927" s="2" t="s">
        <v>368</v>
      </c>
      <c r="D927" s="2" t="s">
        <v>378</v>
      </c>
      <c r="E927" s="2" t="s">
        <v>383</v>
      </c>
      <c r="F927" s="2" t="s">
        <v>390</v>
      </c>
      <c r="G927" s="2">
        <v>5</v>
      </c>
      <c r="H927" s="2">
        <v>1500</v>
      </c>
      <c r="I927" s="2">
        <v>0.05</v>
      </c>
      <c r="J927" s="3">
        <f t="shared" si="15"/>
        <v>7125</v>
      </c>
      <c r="K927" s="2" t="str">
        <f>TEXT(Table4[OrderDate], "mmmm")</f>
        <v>October</v>
      </c>
      <c r="L927" s="2">
        <f>IF(C927 = "", 0, IF(COUNTIF($C$2:C927, C927) = 1, 1, 0))</f>
        <v>0</v>
      </c>
    </row>
    <row r="928" spans="1:12" x14ac:dyDescent="0.25">
      <c r="A928" s="2">
        <v>1927</v>
      </c>
      <c r="B928" s="21" t="s">
        <v>106</v>
      </c>
      <c r="C928" s="2" t="s">
        <v>357</v>
      </c>
      <c r="D928" s="2" t="s">
        <v>373</v>
      </c>
      <c r="E928" s="2" t="s">
        <v>386</v>
      </c>
      <c r="F928" s="2" t="s">
        <v>391</v>
      </c>
      <c r="G928" s="2">
        <v>2</v>
      </c>
      <c r="H928" s="2">
        <v>7000</v>
      </c>
      <c r="I928" s="2">
        <v>0.1</v>
      </c>
      <c r="J928" s="3">
        <f t="shared" si="15"/>
        <v>12600</v>
      </c>
      <c r="K928" s="2" t="str">
        <f>TEXT(Table4[OrderDate], "mmmm")</f>
        <v>October</v>
      </c>
      <c r="L928" s="2">
        <f>IF(C928 = "", 0, IF(COUNTIF($C$2:C928, C928) = 1, 1, 0))</f>
        <v>0</v>
      </c>
    </row>
    <row r="929" spans="1:12" x14ac:dyDescent="0.25">
      <c r="A929" s="2">
        <v>1928</v>
      </c>
      <c r="B929" s="21" t="s">
        <v>83</v>
      </c>
      <c r="C929" s="2" t="s">
        <v>363</v>
      </c>
      <c r="D929" s="2" t="s">
        <v>374</v>
      </c>
      <c r="E929" s="2" t="s">
        <v>381</v>
      </c>
      <c r="F929" s="2" t="s">
        <v>389</v>
      </c>
      <c r="G929" s="2">
        <v>3</v>
      </c>
      <c r="H929" s="2">
        <v>20000</v>
      </c>
      <c r="I929" s="2">
        <v>0.1</v>
      </c>
      <c r="J929" s="3">
        <f t="shared" si="15"/>
        <v>54000</v>
      </c>
      <c r="K929" s="2" t="str">
        <f>TEXT(Table4[OrderDate], "mmmm")</f>
        <v>October</v>
      </c>
      <c r="L929" s="2">
        <f>IF(C929 = "", 0, IF(COUNTIF($C$2:C929, C929) = 1, 1, 0))</f>
        <v>0</v>
      </c>
    </row>
    <row r="930" spans="1:12" x14ac:dyDescent="0.25">
      <c r="A930" s="2">
        <v>1929</v>
      </c>
      <c r="B930" s="21" t="s">
        <v>320</v>
      </c>
      <c r="C930" s="2" t="s">
        <v>372</v>
      </c>
      <c r="D930" s="2" t="s">
        <v>377</v>
      </c>
      <c r="E930" s="2" t="s">
        <v>384</v>
      </c>
      <c r="F930" s="2" t="s">
        <v>389</v>
      </c>
      <c r="G930" s="2">
        <v>1</v>
      </c>
      <c r="H930" s="2">
        <v>30000</v>
      </c>
      <c r="I930" s="2">
        <v>0.15</v>
      </c>
      <c r="J930" s="3">
        <f t="shared" si="15"/>
        <v>25500</v>
      </c>
      <c r="K930" s="2" t="str">
        <f>TEXT(Table4[OrderDate], "mmmm")</f>
        <v>December</v>
      </c>
      <c r="L930" s="2">
        <f>IF(C930 = "", 0, IF(COUNTIF($C$2:C930, C930) = 1, 1, 0))</f>
        <v>0</v>
      </c>
    </row>
    <row r="931" spans="1:12" x14ac:dyDescent="0.25">
      <c r="A931" s="2">
        <v>1930</v>
      </c>
      <c r="B931" s="21" t="s">
        <v>328</v>
      </c>
      <c r="C931" s="2" t="s">
        <v>368</v>
      </c>
      <c r="D931" s="2" t="s">
        <v>373</v>
      </c>
      <c r="E931" s="2" t="s">
        <v>383</v>
      </c>
      <c r="F931" s="2" t="s">
        <v>390</v>
      </c>
      <c r="G931" s="2">
        <v>1</v>
      </c>
      <c r="H931" s="2">
        <v>1500</v>
      </c>
      <c r="I931" s="2">
        <v>0</v>
      </c>
      <c r="J931" s="3">
        <f t="shared" si="15"/>
        <v>1500</v>
      </c>
      <c r="K931" s="2" t="str">
        <f>TEXT(Table4[OrderDate], "mmmm")</f>
        <v>August</v>
      </c>
      <c r="L931" s="2">
        <f>IF(C931 = "", 0, IF(COUNTIF($C$2:C931, C931) = 1, 1, 0))</f>
        <v>0</v>
      </c>
    </row>
    <row r="932" spans="1:12" x14ac:dyDescent="0.25">
      <c r="A932" s="2">
        <v>1845</v>
      </c>
      <c r="B932" s="21" t="s">
        <v>58</v>
      </c>
      <c r="C932" s="2" t="s">
        <v>357</v>
      </c>
      <c r="D932" s="2" t="s">
        <v>375</v>
      </c>
      <c r="E932" s="2" t="s">
        <v>383</v>
      </c>
      <c r="F932" s="2" t="s">
        <v>390</v>
      </c>
      <c r="G932" s="2">
        <v>5</v>
      </c>
      <c r="H932" s="2">
        <v>1500</v>
      </c>
      <c r="I932" s="2">
        <v>0.05</v>
      </c>
      <c r="J932" s="3">
        <f t="shared" si="15"/>
        <v>7125</v>
      </c>
      <c r="K932" s="2" t="str">
        <f>TEXT(Table4[OrderDate], "mmmm")</f>
        <v>October</v>
      </c>
      <c r="L932" s="2">
        <f>IF(C932 = "", 0, IF(COUNTIF($C$2:C932, C932) = 1, 1, 0))</f>
        <v>0</v>
      </c>
    </row>
    <row r="933" spans="1:12" x14ac:dyDescent="0.25">
      <c r="A933" s="2">
        <v>1932</v>
      </c>
      <c r="B933" s="21" t="s">
        <v>56</v>
      </c>
      <c r="C933" s="2" t="s">
        <v>363</v>
      </c>
      <c r="D933" s="2" t="s">
        <v>377</v>
      </c>
      <c r="E933" s="2" t="s">
        <v>381</v>
      </c>
      <c r="F933" s="2" t="s">
        <v>389</v>
      </c>
      <c r="G933" s="2">
        <v>4</v>
      </c>
      <c r="H933" s="2">
        <v>20000</v>
      </c>
      <c r="I933" s="2">
        <v>0.05</v>
      </c>
      <c r="J933" s="3">
        <f t="shared" si="15"/>
        <v>76000</v>
      </c>
      <c r="K933" s="2" t="str">
        <f>TEXT(Table4[OrderDate], "mmmm")</f>
        <v>February</v>
      </c>
      <c r="L933" s="2">
        <f>IF(C933 = "", 0, IF(COUNTIF($C$2:C933, C933) = 1, 1, 0))</f>
        <v>0</v>
      </c>
    </row>
    <row r="934" spans="1:12" x14ac:dyDescent="0.25">
      <c r="A934" s="2">
        <v>1933</v>
      </c>
      <c r="B934" s="21" t="s">
        <v>353</v>
      </c>
      <c r="C934" s="2" t="s">
        <v>357</v>
      </c>
      <c r="D934" s="2" t="s">
        <v>375</v>
      </c>
      <c r="E934" s="2" t="s">
        <v>388</v>
      </c>
      <c r="F934" s="2" t="s">
        <v>389</v>
      </c>
      <c r="G934" s="2">
        <v>3</v>
      </c>
      <c r="H934" s="2">
        <v>12000</v>
      </c>
      <c r="I934" s="2">
        <v>0.15</v>
      </c>
      <c r="J934" s="3">
        <f t="shared" si="15"/>
        <v>30600</v>
      </c>
      <c r="K934" s="2" t="str">
        <f>TEXT(Table4[OrderDate], "mmmm")</f>
        <v>August</v>
      </c>
      <c r="L934" s="2">
        <f>IF(C934 = "", 0, IF(COUNTIF($C$2:C934, C934) = 1, 1, 0))</f>
        <v>0</v>
      </c>
    </row>
    <row r="935" spans="1:12" x14ac:dyDescent="0.25">
      <c r="A935" s="2">
        <v>1901</v>
      </c>
      <c r="B935" s="21" t="s">
        <v>280</v>
      </c>
      <c r="C935" s="2" t="s">
        <v>371</v>
      </c>
      <c r="D935" s="2" t="s">
        <v>374</v>
      </c>
      <c r="E935" s="2" t="s">
        <v>383</v>
      </c>
      <c r="F935" s="2" t="s">
        <v>390</v>
      </c>
      <c r="G935" s="2">
        <v>5</v>
      </c>
      <c r="H935" s="2">
        <v>1500</v>
      </c>
      <c r="I935" s="2">
        <v>0.05</v>
      </c>
      <c r="J935" s="3">
        <f t="shared" si="15"/>
        <v>7125</v>
      </c>
      <c r="K935" s="2" t="str">
        <f>TEXT(Table4[OrderDate], "mmmm")</f>
        <v>December</v>
      </c>
      <c r="L935" s="2">
        <f>IF(C935 = "", 0, IF(COUNTIF($C$2:C935, C935) = 1, 1, 0))</f>
        <v>0</v>
      </c>
    </row>
    <row r="936" spans="1:12" x14ac:dyDescent="0.25">
      <c r="A936" s="2">
        <v>1935</v>
      </c>
      <c r="B936" s="21" t="s">
        <v>332</v>
      </c>
      <c r="C936" s="2" t="s">
        <v>359</v>
      </c>
      <c r="D936" s="2" t="s">
        <v>377</v>
      </c>
      <c r="E936" s="2" t="s">
        <v>385</v>
      </c>
      <c r="F936" s="2" t="s">
        <v>390</v>
      </c>
      <c r="G936" s="2">
        <v>3</v>
      </c>
      <c r="H936" s="2">
        <v>2000</v>
      </c>
      <c r="I936" s="2">
        <v>0.15</v>
      </c>
      <c r="J936" s="3">
        <f t="shared" si="15"/>
        <v>5100</v>
      </c>
      <c r="K936" s="2" t="str">
        <f>TEXT(Table4[OrderDate], "mmmm")</f>
        <v>September</v>
      </c>
      <c r="L936" s="2">
        <f>IF(C936 = "", 0, IF(COUNTIF($C$2:C936, C936) = 1, 1, 0))</f>
        <v>0</v>
      </c>
    </row>
    <row r="937" spans="1:12" x14ac:dyDescent="0.25">
      <c r="A937" s="2">
        <v>1936</v>
      </c>
      <c r="B937" s="21" t="s">
        <v>209</v>
      </c>
      <c r="C937" s="2" t="s">
        <v>363</v>
      </c>
      <c r="D937" s="2" t="s">
        <v>373</v>
      </c>
      <c r="E937" s="2" t="s">
        <v>388</v>
      </c>
      <c r="F937" s="2" t="s">
        <v>389</v>
      </c>
      <c r="G937" s="2">
        <v>1</v>
      </c>
      <c r="H937" s="2">
        <v>12000</v>
      </c>
      <c r="I937" s="2">
        <v>0.1</v>
      </c>
      <c r="J937" s="3">
        <f t="shared" si="15"/>
        <v>10800</v>
      </c>
      <c r="K937" s="2" t="str">
        <f>TEXT(Table4[OrderDate], "mmmm")</f>
        <v>September</v>
      </c>
      <c r="L937" s="2">
        <f>IF(C937 = "", 0, IF(COUNTIF($C$2:C937, C937) = 1, 1, 0))</f>
        <v>0</v>
      </c>
    </row>
    <row r="938" spans="1:12" x14ac:dyDescent="0.25">
      <c r="A938" s="2">
        <v>1937</v>
      </c>
      <c r="B938" s="21" t="s">
        <v>317</v>
      </c>
      <c r="C938" s="2" t="s">
        <v>362</v>
      </c>
      <c r="D938" s="2" t="s">
        <v>378</v>
      </c>
      <c r="E938" s="2" t="s">
        <v>386</v>
      </c>
      <c r="F938" s="2" t="s">
        <v>391</v>
      </c>
      <c r="G938" s="2">
        <v>3</v>
      </c>
      <c r="H938" s="2">
        <v>7000</v>
      </c>
      <c r="I938" s="2">
        <v>0.05</v>
      </c>
      <c r="J938" s="3">
        <f t="shared" si="15"/>
        <v>19950</v>
      </c>
      <c r="K938" s="2" t="str">
        <f>TEXT(Table4[OrderDate], "mmmm")</f>
        <v>September</v>
      </c>
      <c r="L938" s="2">
        <f>IF(C938 = "", 0, IF(COUNTIF($C$2:C938, C938) = 1, 1, 0))</f>
        <v>0</v>
      </c>
    </row>
    <row r="939" spans="1:12" x14ac:dyDescent="0.25">
      <c r="A939" s="2">
        <v>1938</v>
      </c>
      <c r="B939" s="21" t="s">
        <v>105</v>
      </c>
      <c r="C939" s="2" t="s">
        <v>363</v>
      </c>
      <c r="D939" s="2" t="s">
        <v>378</v>
      </c>
      <c r="E939" s="2" t="s">
        <v>381</v>
      </c>
      <c r="F939" s="2" t="s">
        <v>389</v>
      </c>
      <c r="G939" s="2">
        <v>3</v>
      </c>
      <c r="H939" s="2">
        <v>20000</v>
      </c>
      <c r="I939" s="2">
        <v>0</v>
      </c>
      <c r="J939" s="3">
        <f t="shared" si="15"/>
        <v>60000</v>
      </c>
      <c r="K939" s="2" t="str">
        <f>TEXT(Table4[OrderDate], "mmmm")</f>
        <v>June</v>
      </c>
      <c r="L939" s="2">
        <f>IF(C939 = "", 0, IF(COUNTIF($C$2:C939, C939) = 1, 1, 0))</f>
        <v>0</v>
      </c>
    </row>
    <row r="940" spans="1:12" x14ac:dyDescent="0.25">
      <c r="A940" s="2">
        <v>1939</v>
      </c>
      <c r="B940" s="21" t="s">
        <v>80</v>
      </c>
      <c r="C940" s="2" t="s">
        <v>369</v>
      </c>
      <c r="D940" s="2" t="s">
        <v>380</v>
      </c>
      <c r="E940" s="2" t="s">
        <v>383</v>
      </c>
      <c r="F940" s="2" t="s">
        <v>390</v>
      </c>
      <c r="G940" s="2">
        <v>2</v>
      </c>
      <c r="H940" s="2">
        <v>1500</v>
      </c>
      <c r="I940" s="2">
        <v>0.05</v>
      </c>
      <c r="J940" s="3">
        <f t="shared" si="15"/>
        <v>2850</v>
      </c>
      <c r="K940" s="2" t="str">
        <f>TEXT(Table4[OrderDate], "mmmm")</f>
        <v>October</v>
      </c>
      <c r="L940" s="2">
        <f>IF(C940 = "", 0, IF(COUNTIF($C$2:C940, C940) = 1, 1, 0))</f>
        <v>0</v>
      </c>
    </row>
    <row r="941" spans="1:12" x14ac:dyDescent="0.25">
      <c r="A941" s="2">
        <v>1940</v>
      </c>
      <c r="B941" s="21" t="s">
        <v>109</v>
      </c>
      <c r="C941" s="2" t="s">
        <v>358</v>
      </c>
      <c r="D941" s="2" t="s">
        <v>378</v>
      </c>
      <c r="E941" s="2" t="s">
        <v>383</v>
      </c>
      <c r="F941" s="2" t="s">
        <v>390</v>
      </c>
      <c r="G941" s="2">
        <v>1</v>
      </c>
      <c r="H941" s="2">
        <v>1500</v>
      </c>
      <c r="I941" s="2">
        <v>0.1</v>
      </c>
      <c r="J941" s="3">
        <f t="shared" si="15"/>
        <v>1350</v>
      </c>
      <c r="K941" s="2" t="str">
        <f>TEXT(Table4[OrderDate], "mmmm")</f>
        <v>April</v>
      </c>
      <c r="L941" s="2">
        <f>IF(C941 = "", 0, IF(COUNTIF($C$2:C941, C941) = 1, 1, 0))</f>
        <v>0</v>
      </c>
    </row>
    <row r="942" spans="1:12" x14ac:dyDescent="0.25">
      <c r="A942" s="2">
        <v>1955</v>
      </c>
      <c r="B942" s="21" t="s">
        <v>19</v>
      </c>
      <c r="C942" s="2" t="s">
        <v>358</v>
      </c>
      <c r="D942" s="2" t="s">
        <v>380</v>
      </c>
      <c r="E942" s="2" t="s">
        <v>383</v>
      </c>
      <c r="F942" s="2" t="s">
        <v>390</v>
      </c>
      <c r="G942" s="2">
        <v>5</v>
      </c>
      <c r="H942" s="2">
        <v>1500</v>
      </c>
      <c r="I942" s="2">
        <v>0.05</v>
      </c>
      <c r="J942" s="3">
        <f t="shared" si="15"/>
        <v>7125</v>
      </c>
      <c r="K942" s="2" t="str">
        <f>TEXT(Table4[OrderDate], "mmmm")</f>
        <v>August</v>
      </c>
      <c r="L942" s="2">
        <f>IF(C942 = "", 0, IF(COUNTIF($C$2:C942, C942) = 1, 1, 0))</f>
        <v>0</v>
      </c>
    </row>
    <row r="943" spans="1:12" x14ac:dyDescent="0.25">
      <c r="A943" s="2">
        <v>1064</v>
      </c>
      <c r="B943" s="21" t="s">
        <v>67</v>
      </c>
      <c r="C943" s="2" t="s">
        <v>362</v>
      </c>
      <c r="D943" s="2" t="s">
        <v>379</v>
      </c>
      <c r="E943" s="2" t="s">
        <v>383</v>
      </c>
      <c r="F943" s="2" t="s">
        <v>390</v>
      </c>
      <c r="G943" s="2">
        <v>5</v>
      </c>
      <c r="H943" s="2">
        <v>1500</v>
      </c>
      <c r="I943" s="2">
        <v>0.1</v>
      </c>
      <c r="J943" s="3">
        <f t="shared" si="15"/>
        <v>6750</v>
      </c>
      <c r="K943" s="2" t="str">
        <f>TEXT(Table4[OrderDate], "mmmm")</f>
        <v>January</v>
      </c>
      <c r="L943" s="2">
        <f>IF(C943 = "", 0, IF(COUNTIF($C$2:C943, C943) = 1, 1, 0))</f>
        <v>0</v>
      </c>
    </row>
    <row r="944" spans="1:12" x14ac:dyDescent="0.25">
      <c r="A944" s="2">
        <v>1943</v>
      </c>
      <c r="B944" s="21" t="s">
        <v>66</v>
      </c>
      <c r="C944" s="2" t="s">
        <v>362</v>
      </c>
      <c r="D944" s="2" t="s">
        <v>378</v>
      </c>
      <c r="E944" s="2" t="s">
        <v>384</v>
      </c>
      <c r="F944" s="2" t="s">
        <v>389</v>
      </c>
      <c r="G944" s="2">
        <v>3</v>
      </c>
      <c r="H944" s="2">
        <v>30000</v>
      </c>
      <c r="I944" s="2">
        <v>0.15</v>
      </c>
      <c r="J944" s="3">
        <f t="shared" si="15"/>
        <v>76500</v>
      </c>
      <c r="K944" s="2" t="str">
        <f>TEXT(Table4[OrderDate], "mmmm")</f>
        <v>February</v>
      </c>
      <c r="L944" s="2">
        <f>IF(C944 = "", 0, IF(COUNTIF($C$2:C944, C944) = 1, 1, 0))</f>
        <v>0</v>
      </c>
    </row>
    <row r="945" spans="1:12" x14ac:dyDescent="0.25">
      <c r="A945" s="2">
        <v>1944</v>
      </c>
      <c r="B945" s="21" t="s">
        <v>165</v>
      </c>
      <c r="C945" s="2" t="s">
        <v>371</v>
      </c>
      <c r="D945" s="2" t="s">
        <v>373</v>
      </c>
      <c r="E945" s="2" t="s">
        <v>385</v>
      </c>
      <c r="F945" s="2" t="s">
        <v>390</v>
      </c>
      <c r="G945" s="2">
        <v>4</v>
      </c>
      <c r="H945" s="2">
        <v>2000</v>
      </c>
      <c r="I945" s="2">
        <v>0</v>
      </c>
      <c r="J945" s="3">
        <f t="shared" si="15"/>
        <v>8000</v>
      </c>
      <c r="K945" s="2" t="str">
        <f>TEXT(Table4[OrderDate], "mmmm")</f>
        <v>February</v>
      </c>
      <c r="L945" s="2">
        <f>IF(C945 = "", 0, IF(COUNTIF($C$2:C945, C945) = 1, 1, 0))</f>
        <v>0</v>
      </c>
    </row>
    <row r="946" spans="1:12" x14ac:dyDescent="0.25">
      <c r="A946" s="2">
        <v>1945</v>
      </c>
      <c r="B946" s="21" t="s">
        <v>158</v>
      </c>
      <c r="C946" s="2" t="s">
        <v>370</v>
      </c>
      <c r="D946" s="2" t="s">
        <v>378</v>
      </c>
      <c r="E946" s="2" t="s">
        <v>382</v>
      </c>
      <c r="F946" s="2" t="s">
        <v>389</v>
      </c>
      <c r="G946" s="2">
        <v>2</v>
      </c>
      <c r="H946" s="2">
        <v>50000</v>
      </c>
      <c r="I946" s="2">
        <v>0.05</v>
      </c>
      <c r="J946" s="3">
        <f t="shared" si="15"/>
        <v>95000</v>
      </c>
      <c r="K946" s="2" t="str">
        <f>TEXT(Table4[OrderDate], "mmmm")</f>
        <v>August</v>
      </c>
      <c r="L946" s="2">
        <f>IF(C946 = "", 0, IF(COUNTIF($C$2:C946, C946) = 1, 1, 0))</f>
        <v>0</v>
      </c>
    </row>
    <row r="947" spans="1:12" x14ac:dyDescent="0.25">
      <c r="A947" s="2">
        <v>1946</v>
      </c>
      <c r="B947" s="21" t="s">
        <v>29</v>
      </c>
      <c r="C947" s="2" t="s">
        <v>366</v>
      </c>
      <c r="D947" s="2" t="s">
        <v>379</v>
      </c>
      <c r="E947" s="2" t="s">
        <v>388</v>
      </c>
      <c r="F947" s="2" t="s">
        <v>389</v>
      </c>
      <c r="G947" s="2">
        <v>2</v>
      </c>
      <c r="H947" s="2">
        <v>12000</v>
      </c>
      <c r="I947" s="2">
        <v>0.05</v>
      </c>
      <c r="J947" s="3">
        <f t="shared" si="15"/>
        <v>22800</v>
      </c>
      <c r="K947" s="2" t="str">
        <f>TEXT(Table4[OrderDate], "mmmm")</f>
        <v>December</v>
      </c>
      <c r="L947" s="2">
        <f>IF(C947 = "", 0, IF(COUNTIF($C$2:C947, C947) = 1, 1, 0))</f>
        <v>0</v>
      </c>
    </row>
    <row r="948" spans="1:12" x14ac:dyDescent="0.25">
      <c r="A948" s="2">
        <v>1947</v>
      </c>
      <c r="B948" s="21" t="s">
        <v>335</v>
      </c>
      <c r="C948" s="2" t="s">
        <v>359</v>
      </c>
      <c r="D948" s="2" t="s">
        <v>378</v>
      </c>
      <c r="E948" s="2" t="s">
        <v>386</v>
      </c>
      <c r="F948" s="2" t="s">
        <v>391</v>
      </c>
      <c r="G948" s="2">
        <v>4</v>
      </c>
      <c r="H948" s="2">
        <v>7000</v>
      </c>
      <c r="I948" s="2">
        <v>0.1</v>
      </c>
      <c r="J948" s="3">
        <f t="shared" si="15"/>
        <v>25200</v>
      </c>
      <c r="K948" s="2" t="str">
        <f>TEXT(Table4[OrderDate], "mmmm")</f>
        <v>February</v>
      </c>
      <c r="L948" s="2">
        <f>IF(C948 = "", 0, IF(COUNTIF($C$2:C948, C948) = 1, 1, 0))</f>
        <v>0</v>
      </c>
    </row>
    <row r="949" spans="1:12" x14ac:dyDescent="0.25">
      <c r="A949" s="2">
        <v>1948</v>
      </c>
      <c r="B949" s="21" t="s">
        <v>59</v>
      </c>
      <c r="C949" s="2" t="s">
        <v>372</v>
      </c>
      <c r="D949" s="2" t="s">
        <v>374</v>
      </c>
      <c r="E949" s="2" t="s">
        <v>384</v>
      </c>
      <c r="F949" s="2" t="s">
        <v>389</v>
      </c>
      <c r="G949" s="2">
        <v>3</v>
      </c>
      <c r="H949" s="2">
        <v>30000</v>
      </c>
      <c r="I949" s="2">
        <v>0</v>
      </c>
      <c r="J949" s="3">
        <f t="shared" si="15"/>
        <v>90000</v>
      </c>
      <c r="K949" s="2" t="str">
        <f>TEXT(Table4[OrderDate], "mmmm")</f>
        <v>July</v>
      </c>
      <c r="L949" s="2">
        <f>IF(C949 = "", 0, IF(COUNTIF($C$2:C949, C949) = 1, 1, 0))</f>
        <v>0</v>
      </c>
    </row>
    <row r="950" spans="1:12" x14ac:dyDescent="0.25">
      <c r="A950" s="2">
        <v>1949</v>
      </c>
      <c r="B950" s="21" t="s">
        <v>354</v>
      </c>
      <c r="C950" s="2" t="s">
        <v>357</v>
      </c>
      <c r="D950" s="2" t="s">
        <v>378</v>
      </c>
      <c r="E950" s="2" t="s">
        <v>385</v>
      </c>
      <c r="F950" s="2" t="s">
        <v>390</v>
      </c>
      <c r="G950" s="2">
        <v>1</v>
      </c>
      <c r="H950" s="2">
        <v>2000</v>
      </c>
      <c r="I950" s="2">
        <v>0.1</v>
      </c>
      <c r="J950" s="3">
        <f t="shared" si="15"/>
        <v>1800</v>
      </c>
      <c r="K950" s="2" t="str">
        <f>TEXT(Table4[OrderDate], "mmmm")</f>
        <v>January</v>
      </c>
      <c r="L950" s="2">
        <f>IF(C950 = "", 0, IF(COUNTIF($C$2:C950, C950) = 1, 1, 0))</f>
        <v>0</v>
      </c>
    </row>
    <row r="951" spans="1:12" x14ac:dyDescent="0.25">
      <c r="A951" s="2">
        <v>1950</v>
      </c>
      <c r="B951" s="21" t="s">
        <v>73</v>
      </c>
      <c r="C951" s="2" t="s">
        <v>368</v>
      </c>
      <c r="D951" s="2" t="s">
        <v>378</v>
      </c>
      <c r="E951" s="2" t="s">
        <v>383</v>
      </c>
      <c r="F951" s="2" t="s">
        <v>390</v>
      </c>
      <c r="G951" s="2">
        <v>3</v>
      </c>
      <c r="H951" s="2">
        <v>1500</v>
      </c>
      <c r="I951" s="2">
        <v>0.15</v>
      </c>
      <c r="J951" s="3">
        <f t="shared" si="15"/>
        <v>3825</v>
      </c>
      <c r="K951" s="2" t="str">
        <f>TEXT(Table4[OrderDate], "mmmm")</f>
        <v>July</v>
      </c>
      <c r="L951" s="2">
        <f>IF(C951 = "", 0, IF(COUNTIF($C$2:C951, C951) = 1, 1, 0))</f>
        <v>0</v>
      </c>
    </row>
    <row r="952" spans="1:12" x14ac:dyDescent="0.25">
      <c r="A952" s="2">
        <v>1951</v>
      </c>
      <c r="B952" s="21" t="s">
        <v>25</v>
      </c>
      <c r="C952" s="2" t="s">
        <v>371</v>
      </c>
      <c r="D952" s="2" t="s">
        <v>378</v>
      </c>
      <c r="E952" s="2" t="s">
        <v>387</v>
      </c>
      <c r="F952" s="2" t="s">
        <v>391</v>
      </c>
      <c r="G952" s="2">
        <v>2</v>
      </c>
      <c r="H952" s="2">
        <v>3000</v>
      </c>
      <c r="I952" s="2">
        <v>0.15</v>
      </c>
      <c r="J952" s="3">
        <f t="shared" si="15"/>
        <v>5100</v>
      </c>
      <c r="K952" s="2" t="str">
        <f>TEXT(Table4[OrderDate], "mmmm")</f>
        <v>March</v>
      </c>
      <c r="L952" s="2">
        <f>IF(C952 = "", 0, IF(COUNTIF($C$2:C952, C952) = 1, 1, 0))</f>
        <v>0</v>
      </c>
    </row>
    <row r="953" spans="1:12" x14ac:dyDescent="0.25">
      <c r="A953" s="2">
        <v>1952</v>
      </c>
      <c r="B953" s="21" t="s">
        <v>226</v>
      </c>
      <c r="C953" s="2" t="s">
        <v>361</v>
      </c>
      <c r="D953" s="2" t="s">
        <v>373</v>
      </c>
      <c r="E953" s="2" t="s">
        <v>385</v>
      </c>
      <c r="F953" s="2" t="s">
        <v>390</v>
      </c>
      <c r="G953" s="2">
        <v>4</v>
      </c>
      <c r="H953" s="2">
        <v>2000</v>
      </c>
      <c r="I953" s="2">
        <v>0.05</v>
      </c>
      <c r="J953" s="3">
        <f t="shared" si="15"/>
        <v>7600</v>
      </c>
      <c r="K953" s="2" t="str">
        <f>TEXT(Table4[OrderDate], "mmmm")</f>
        <v>May</v>
      </c>
      <c r="L953" s="2">
        <f>IF(C953 = "", 0, IF(COUNTIF($C$2:C953, C953) = 1, 1, 0))</f>
        <v>0</v>
      </c>
    </row>
    <row r="954" spans="1:12" x14ac:dyDescent="0.25">
      <c r="A954" s="2">
        <v>1953</v>
      </c>
      <c r="B954" s="21" t="s">
        <v>169</v>
      </c>
      <c r="C954" s="2" t="s">
        <v>367</v>
      </c>
      <c r="D954" s="2" t="s">
        <v>378</v>
      </c>
      <c r="E954" s="2" t="s">
        <v>382</v>
      </c>
      <c r="F954" s="2" t="s">
        <v>389</v>
      </c>
      <c r="G954" s="2">
        <v>1</v>
      </c>
      <c r="H954" s="2">
        <v>50000</v>
      </c>
      <c r="I954" s="2">
        <v>0</v>
      </c>
      <c r="J954" s="3">
        <f t="shared" si="15"/>
        <v>50000</v>
      </c>
      <c r="K954" s="2" t="str">
        <f>TEXT(Table4[OrderDate], "mmmm")</f>
        <v>March</v>
      </c>
      <c r="L954" s="2">
        <f>IF(C954 = "", 0, IF(COUNTIF($C$2:C954, C954) = 1, 1, 0))</f>
        <v>0</v>
      </c>
    </row>
    <row r="955" spans="1:12" x14ac:dyDescent="0.25">
      <c r="A955" s="2">
        <v>1954</v>
      </c>
      <c r="B955" s="21" t="s">
        <v>154</v>
      </c>
      <c r="C955" s="2" t="s">
        <v>358</v>
      </c>
      <c r="D955" s="2" t="s">
        <v>380</v>
      </c>
      <c r="E955" s="2" t="s">
        <v>384</v>
      </c>
      <c r="F955" s="2" t="s">
        <v>389</v>
      </c>
      <c r="G955" s="2">
        <v>1</v>
      </c>
      <c r="H955" s="2">
        <v>30000</v>
      </c>
      <c r="I955" s="2">
        <v>0.05</v>
      </c>
      <c r="J955" s="3">
        <f t="shared" si="15"/>
        <v>28500</v>
      </c>
      <c r="K955" s="2" t="str">
        <f>TEXT(Table4[OrderDate], "mmmm")</f>
        <v>November</v>
      </c>
      <c r="L955" s="2">
        <f>IF(C955 = "", 0, IF(COUNTIF($C$2:C955, C955) = 1, 1, 0))</f>
        <v>0</v>
      </c>
    </row>
    <row r="956" spans="1:12" x14ac:dyDescent="0.25">
      <c r="A956" s="2">
        <v>1312</v>
      </c>
      <c r="B956" s="21" t="s">
        <v>97</v>
      </c>
      <c r="C956" s="2" t="s">
        <v>366</v>
      </c>
      <c r="D956" s="2" t="s">
        <v>380</v>
      </c>
      <c r="E956" s="2" t="s">
        <v>383</v>
      </c>
      <c r="F956" s="2" t="s">
        <v>390</v>
      </c>
      <c r="G956" s="2">
        <v>5</v>
      </c>
      <c r="H956" s="2">
        <v>1500</v>
      </c>
      <c r="I956" s="2">
        <v>0.1</v>
      </c>
      <c r="J956" s="3">
        <f t="shared" si="15"/>
        <v>6750</v>
      </c>
      <c r="K956" s="2" t="str">
        <f>TEXT(Table4[OrderDate], "mmmm")</f>
        <v>October</v>
      </c>
      <c r="L956" s="2">
        <f>IF(C956 = "", 0, IF(COUNTIF($C$2:C956, C956) = 1, 1, 0))</f>
        <v>0</v>
      </c>
    </row>
    <row r="957" spans="1:12" x14ac:dyDescent="0.25">
      <c r="A957" s="2">
        <v>1956</v>
      </c>
      <c r="B957" s="21" t="s">
        <v>47</v>
      </c>
      <c r="C957" s="2" t="s">
        <v>358</v>
      </c>
      <c r="D957" s="2" t="s">
        <v>374</v>
      </c>
      <c r="E957" s="2" t="s">
        <v>383</v>
      </c>
      <c r="F957" s="2" t="s">
        <v>390</v>
      </c>
      <c r="G957" s="2">
        <v>3</v>
      </c>
      <c r="H957" s="2">
        <v>1500</v>
      </c>
      <c r="I957" s="2">
        <v>0.05</v>
      </c>
      <c r="J957" s="3">
        <f t="shared" si="15"/>
        <v>4275</v>
      </c>
      <c r="K957" s="2" t="str">
        <f>TEXT(Table4[OrderDate], "mmmm")</f>
        <v>April</v>
      </c>
      <c r="L957" s="2">
        <f>IF(C957 = "", 0, IF(COUNTIF($C$2:C957, C957) = 1, 1, 0))</f>
        <v>0</v>
      </c>
    </row>
    <row r="958" spans="1:12" x14ac:dyDescent="0.25">
      <c r="A958" s="2">
        <v>1957</v>
      </c>
      <c r="B958" s="21" t="s">
        <v>189</v>
      </c>
      <c r="C958" s="2" t="s">
        <v>364</v>
      </c>
      <c r="D958" s="2" t="s">
        <v>374</v>
      </c>
      <c r="E958" s="2" t="s">
        <v>388</v>
      </c>
      <c r="F958" s="2" t="s">
        <v>389</v>
      </c>
      <c r="G958" s="2">
        <v>2</v>
      </c>
      <c r="H958" s="2">
        <v>12000</v>
      </c>
      <c r="I958" s="2">
        <v>0.1</v>
      </c>
      <c r="J958" s="3">
        <f t="shared" si="15"/>
        <v>21600</v>
      </c>
      <c r="K958" s="2" t="str">
        <f>TEXT(Table4[OrderDate], "mmmm")</f>
        <v>July</v>
      </c>
      <c r="L958" s="2">
        <f>IF(C958 = "", 0, IF(COUNTIF($C$2:C958, C958) = 1, 1, 0))</f>
        <v>0</v>
      </c>
    </row>
    <row r="959" spans="1:12" x14ac:dyDescent="0.25">
      <c r="A959" s="2">
        <v>1314</v>
      </c>
      <c r="B959" s="21" t="s">
        <v>111</v>
      </c>
      <c r="C959" s="2" t="s">
        <v>359</v>
      </c>
      <c r="D959" s="2" t="s">
        <v>380</v>
      </c>
      <c r="E959" s="2" t="s">
        <v>383</v>
      </c>
      <c r="F959" s="2" t="s">
        <v>390</v>
      </c>
      <c r="G959" s="2">
        <v>5</v>
      </c>
      <c r="H959" s="2">
        <v>1500</v>
      </c>
      <c r="I959" s="2">
        <v>0.1</v>
      </c>
      <c r="J959" s="3">
        <f t="shared" si="15"/>
        <v>6750</v>
      </c>
      <c r="K959" s="2" t="str">
        <f>TEXT(Table4[OrderDate], "mmmm")</f>
        <v>December</v>
      </c>
      <c r="L959" s="2">
        <f>IF(C959 = "", 0, IF(COUNTIF($C$2:C959, C959) = 1, 1, 0))</f>
        <v>0</v>
      </c>
    </row>
    <row r="960" spans="1:12" x14ac:dyDescent="0.25">
      <c r="A960" s="2">
        <v>1959</v>
      </c>
      <c r="B960" s="21" t="s">
        <v>322</v>
      </c>
      <c r="C960" s="2" t="s">
        <v>360</v>
      </c>
      <c r="D960" s="2" t="s">
        <v>380</v>
      </c>
      <c r="E960" s="2" t="s">
        <v>388</v>
      </c>
      <c r="F960" s="2" t="s">
        <v>389</v>
      </c>
      <c r="G960" s="2">
        <v>1</v>
      </c>
      <c r="H960" s="2">
        <v>12000</v>
      </c>
      <c r="I960" s="2">
        <v>0.05</v>
      </c>
      <c r="J960" s="3">
        <f t="shared" si="15"/>
        <v>11400</v>
      </c>
      <c r="K960" s="2" t="str">
        <f>TEXT(Table4[OrderDate], "mmmm")</f>
        <v>September</v>
      </c>
      <c r="L960" s="2">
        <f>IF(C960 = "", 0, IF(COUNTIF($C$2:C960, C960) = 1, 1, 0))</f>
        <v>0</v>
      </c>
    </row>
    <row r="961" spans="1:12" x14ac:dyDescent="0.25">
      <c r="A961" s="2">
        <v>1651</v>
      </c>
      <c r="B961" s="21" t="s">
        <v>168</v>
      </c>
      <c r="C961" s="2" t="s">
        <v>366</v>
      </c>
      <c r="D961" s="2" t="s">
        <v>375</v>
      </c>
      <c r="E961" s="2" t="s">
        <v>383</v>
      </c>
      <c r="F961" s="2" t="s">
        <v>390</v>
      </c>
      <c r="G961" s="2">
        <v>5</v>
      </c>
      <c r="H961" s="2">
        <v>1500</v>
      </c>
      <c r="I961" s="2">
        <v>0.1</v>
      </c>
      <c r="J961" s="3">
        <f t="shared" si="15"/>
        <v>6750</v>
      </c>
      <c r="K961" s="2" t="str">
        <f>TEXT(Table4[OrderDate], "mmmm")</f>
        <v>December</v>
      </c>
      <c r="L961" s="2">
        <f>IF(C961 = "", 0, IF(COUNTIF($C$2:C961, C961) = 1, 1, 0))</f>
        <v>0</v>
      </c>
    </row>
    <row r="962" spans="1:12" x14ac:dyDescent="0.25">
      <c r="A962" s="2">
        <v>1729</v>
      </c>
      <c r="B962" s="21" t="s">
        <v>329</v>
      </c>
      <c r="C962" s="2" t="s">
        <v>360</v>
      </c>
      <c r="D962" s="2" t="s">
        <v>378</v>
      </c>
      <c r="E962" s="2" t="s">
        <v>383</v>
      </c>
      <c r="F962" s="2" t="s">
        <v>390</v>
      </c>
      <c r="G962" s="2">
        <v>5</v>
      </c>
      <c r="H962" s="2">
        <v>1500</v>
      </c>
      <c r="I962" s="2">
        <v>0.1</v>
      </c>
      <c r="J962" s="3">
        <f t="shared" ref="J962:J1000" si="16">H962*(1-I962)*G962</f>
        <v>6750</v>
      </c>
      <c r="K962" s="2" t="str">
        <f>TEXT(Table4[OrderDate], "mmmm")</f>
        <v>November</v>
      </c>
      <c r="L962" s="2">
        <f>IF(C962 = "", 0, IF(COUNTIF($C$2:C962, C962) = 1, 1, 0))</f>
        <v>0</v>
      </c>
    </row>
    <row r="963" spans="1:12" x14ac:dyDescent="0.25">
      <c r="A963" s="2">
        <v>1830</v>
      </c>
      <c r="B963" s="21" t="s">
        <v>247</v>
      </c>
      <c r="C963" s="2" t="s">
        <v>363</v>
      </c>
      <c r="D963" s="2" t="s">
        <v>380</v>
      </c>
      <c r="E963" s="2" t="s">
        <v>383</v>
      </c>
      <c r="F963" s="2" t="s">
        <v>390</v>
      </c>
      <c r="G963" s="2">
        <v>5</v>
      </c>
      <c r="H963" s="2">
        <v>1500</v>
      </c>
      <c r="I963" s="2">
        <v>0.1</v>
      </c>
      <c r="J963" s="3">
        <f t="shared" si="16"/>
        <v>6750</v>
      </c>
      <c r="K963" s="2" t="str">
        <f>TEXT(Table4[OrderDate], "mmmm")</f>
        <v>July</v>
      </c>
      <c r="L963" s="2">
        <f>IF(C963 = "", 0, IF(COUNTIF($C$2:C963, C963) = 1, 1, 0))</f>
        <v>0</v>
      </c>
    </row>
    <row r="964" spans="1:12" x14ac:dyDescent="0.25">
      <c r="A964" s="2">
        <v>1963</v>
      </c>
      <c r="B964" s="21" t="s">
        <v>43</v>
      </c>
      <c r="C964" s="2" t="s">
        <v>372</v>
      </c>
      <c r="D964" s="2" t="s">
        <v>379</v>
      </c>
      <c r="E964" s="2" t="s">
        <v>385</v>
      </c>
      <c r="F964" s="2" t="s">
        <v>390</v>
      </c>
      <c r="G964" s="2">
        <v>3</v>
      </c>
      <c r="H964" s="2">
        <v>2000</v>
      </c>
      <c r="I964" s="2">
        <v>0.1</v>
      </c>
      <c r="J964" s="3">
        <f t="shared" si="16"/>
        <v>5400</v>
      </c>
      <c r="K964" s="2" t="str">
        <f>TEXT(Table4[OrderDate], "mmmm")</f>
        <v>March</v>
      </c>
      <c r="L964" s="2">
        <f>IF(C964 = "", 0, IF(COUNTIF($C$2:C964, C964) = 1, 1, 0))</f>
        <v>0</v>
      </c>
    </row>
    <row r="965" spans="1:12" x14ac:dyDescent="0.25">
      <c r="A965" s="2">
        <v>1964</v>
      </c>
      <c r="B965" s="21" t="s">
        <v>74</v>
      </c>
      <c r="C965" s="2" t="s">
        <v>369</v>
      </c>
      <c r="D965" s="2" t="s">
        <v>374</v>
      </c>
      <c r="E965" s="2" t="s">
        <v>386</v>
      </c>
      <c r="F965" s="2" t="s">
        <v>391</v>
      </c>
      <c r="G965" s="2">
        <v>1</v>
      </c>
      <c r="H965" s="2">
        <v>7000</v>
      </c>
      <c r="I965" s="2">
        <v>0.15</v>
      </c>
      <c r="J965" s="3">
        <f t="shared" si="16"/>
        <v>5950</v>
      </c>
      <c r="K965" s="2" t="str">
        <f>TEXT(Table4[OrderDate], "mmmm")</f>
        <v>October</v>
      </c>
      <c r="L965" s="2">
        <f>IF(C965 = "", 0, IF(COUNTIF($C$2:C965, C965) = 1, 1, 0))</f>
        <v>0</v>
      </c>
    </row>
    <row r="966" spans="1:12" x14ac:dyDescent="0.25">
      <c r="A966" s="2">
        <v>1017</v>
      </c>
      <c r="B966" s="21" t="s">
        <v>26</v>
      </c>
      <c r="C966" s="2" t="s">
        <v>357</v>
      </c>
      <c r="D966" s="2" t="s">
        <v>373</v>
      </c>
      <c r="E966" s="2" t="s">
        <v>383</v>
      </c>
      <c r="F966" s="2" t="s">
        <v>390</v>
      </c>
      <c r="G966" s="2">
        <v>5</v>
      </c>
      <c r="H966" s="2">
        <v>1500</v>
      </c>
      <c r="I966" s="2">
        <v>0.15</v>
      </c>
      <c r="J966" s="3">
        <f t="shared" si="16"/>
        <v>6375</v>
      </c>
      <c r="K966" s="2" t="str">
        <f>TEXT(Table4[OrderDate], "mmmm")</f>
        <v>July</v>
      </c>
      <c r="L966" s="2">
        <f>IF(C966 = "", 0, IF(COUNTIF($C$2:C966, C966) = 1, 1, 0))</f>
        <v>0</v>
      </c>
    </row>
    <row r="967" spans="1:12" x14ac:dyDescent="0.25">
      <c r="A967" s="2">
        <v>1220</v>
      </c>
      <c r="B967" s="21" t="s">
        <v>180</v>
      </c>
      <c r="C967" s="2" t="s">
        <v>365</v>
      </c>
      <c r="D967" s="2" t="s">
        <v>378</v>
      </c>
      <c r="E967" s="2" t="s">
        <v>383</v>
      </c>
      <c r="F967" s="2" t="s">
        <v>390</v>
      </c>
      <c r="G967" s="2">
        <v>5</v>
      </c>
      <c r="H967" s="2">
        <v>1500</v>
      </c>
      <c r="I967" s="2">
        <v>0.15</v>
      </c>
      <c r="J967" s="3">
        <f t="shared" si="16"/>
        <v>6375</v>
      </c>
      <c r="K967" s="2" t="str">
        <f>TEXT(Table4[OrderDate], "mmmm")</f>
        <v>September</v>
      </c>
      <c r="L967" s="2">
        <f>IF(C967 = "", 0, IF(COUNTIF($C$2:C967, C967) = 1, 1, 0))</f>
        <v>0</v>
      </c>
    </row>
    <row r="968" spans="1:12" x14ac:dyDescent="0.25">
      <c r="A968" s="2">
        <v>1967</v>
      </c>
      <c r="B968" s="21" t="s">
        <v>156</v>
      </c>
      <c r="C968" s="2" t="s">
        <v>362</v>
      </c>
      <c r="D968" s="2" t="s">
        <v>373</v>
      </c>
      <c r="E968" s="2" t="s">
        <v>386</v>
      </c>
      <c r="F968" s="2" t="s">
        <v>391</v>
      </c>
      <c r="G968" s="2">
        <v>3</v>
      </c>
      <c r="H968" s="2">
        <v>7000</v>
      </c>
      <c r="I968" s="2">
        <v>0.1</v>
      </c>
      <c r="J968" s="3">
        <f t="shared" si="16"/>
        <v>18900</v>
      </c>
      <c r="K968" s="2" t="str">
        <f>TEXT(Table4[OrderDate], "mmmm")</f>
        <v>January</v>
      </c>
      <c r="L968" s="2">
        <f>IF(C968 = "", 0, IF(COUNTIF($C$2:C968, C968) = 1, 1, 0))</f>
        <v>0</v>
      </c>
    </row>
    <row r="969" spans="1:12" x14ac:dyDescent="0.25">
      <c r="A969" s="2">
        <v>1968</v>
      </c>
      <c r="B969" s="21" t="s">
        <v>118</v>
      </c>
      <c r="C969" s="2" t="s">
        <v>360</v>
      </c>
      <c r="D969" s="2" t="s">
        <v>375</v>
      </c>
      <c r="E969" s="2" t="s">
        <v>384</v>
      </c>
      <c r="F969" s="2" t="s">
        <v>389</v>
      </c>
      <c r="G969" s="2">
        <v>4</v>
      </c>
      <c r="H969" s="2">
        <v>30000</v>
      </c>
      <c r="I969" s="2">
        <v>0.1</v>
      </c>
      <c r="J969" s="3">
        <f t="shared" si="16"/>
        <v>108000</v>
      </c>
      <c r="K969" s="2" t="str">
        <f>TEXT(Table4[OrderDate], "mmmm")</f>
        <v>March</v>
      </c>
      <c r="L969" s="2">
        <f>IF(C969 = "", 0, IF(COUNTIF($C$2:C969, C969) = 1, 1, 0))</f>
        <v>0</v>
      </c>
    </row>
    <row r="970" spans="1:12" x14ac:dyDescent="0.25">
      <c r="A970" s="2">
        <v>1969</v>
      </c>
      <c r="B970" s="21" t="s">
        <v>55</v>
      </c>
      <c r="C970" s="2" t="s">
        <v>365</v>
      </c>
      <c r="D970" s="2" t="s">
        <v>373</v>
      </c>
      <c r="E970" s="2" t="s">
        <v>388</v>
      </c>
      <c r="F970" s="2" t="s">
        <v>389</v>
      </c>
      <c r="G970" s="2">
        <v>2</v>
      </c>
      <c r="H970" s="2">
        <v>12000</v>
      </c>
      <c r="I970" s="2">
        <v>0</v>
      </c>
      <c r="J970" s="3">
        <f t="shared" si="16"/>
        <v>24000</v>
      </c>
      <c r="K970" s="2" t="str">
        <f>TEXT(Table4[OrderDate], "mmmm")</f>
        <v>June</v>
      </c>
      <c r="L970" s="2">
        <f>IF(C970 = "", 0, IF(COUNTIF($C$2:C970, C970) = 1, 1, 0))</f>
        <v>0</v>
      </c>
    </row>
    <row r="971" spans="1:12" x14ac:dyDescent="0.25">
      <c r="A971" s="2">
        <v>1970</v>
      </c>
      <c r="B971" s="21" t="s">
        <v>126</v>
      </c>
      <c r="C971" s="2" t="s">
        <v>357</v>
      </c>
      <c r="D971" s="2" t="s">
        <v>380</v>
      </c>
      <c r="E971" s="2" t="s">
        <v>384</v>
      </c>
      <c r="F971" s="2" t="s">
        <v>389</v>
      </c>
      <c r="G971" s="2">
        <v>4</v>
      </c>
      <c r="H971" s="2">
        <v>30000</v>
      </c>
      <c r="I971" s="2">
        <v>0.15</v>
      </c>
      <c r="J971" s="3">
        <f t="shared" si="16"/>
        <v>102000</v>
      </c>
      <c r="K971" s="2" t="str">
        <f>TEXT(Table4[OrderDate], "mmmm")</f>
        <v>July</v>
      </c>
      <c r="L971" s="2">
        <f>IF(C971 = "", 0, IF(COUNTIF($C$2:C971, C971) = 1, 1, 0))</f>
        <v>0</v>
      </c>
    </row>
    <row r="972" spans="1:12" x14ac:dyDescent="0.25">
      <c r="A972" s="2">
        <v>1971</v>
      </c>
      <c r="B972" s="21" t="s">
        <v>40</v>
      </c>
      <c r="C972" s="2" t="s">
        <v>360</v>
      </c>
      <c r="D972" s="2" t="s">
        <v>377</v>
      </c>
      <c r="E972" s="2" t="s">
        <v>384</v>
      </c>
      <c r="F972" s="2" t="s">
        <v>389</v>
      </c>
      <c r="G972" s="2">
        <v>2</v>
      </c>
      <c r="H972" s="2">
        <v>30000</v>
      </c>
      <c r="I972" s="2">
        <v>0.1</v>
      </c>
      <c r="J972" s="3">
        <f t="shared" si="16"/>
        <v>54000</v>
      </c>
      <c r="K972" s="2" t="str">
        <f>TEXT(Table4[OrderDate], "mmmm")</f>
        <v>January</v>
      </c>
      <c r="L972" s="2">
        <f>IF(C972 = "", 0, IF(COUNTIF($C$2:C972, C972) = 1, 1, 0))</f>
        <v>0</v>
      </c>
    </row>
    <row r="973" spans="1:12" x14ac:dyDescent="0.25">
      <c r="A973" s="2">
        <v>1972</v>
      </c>
      <c r="B973" s="21" t="s">
        <v>163</v>
      </c>
      <c r="C973" s="2" t="s">
        <v>367</v>
      </c>
      <c r="D973" s="2" t="s">
        <v>379</v>
      </c>
      <c r="E973" s="2" t="s">
        <v>382</v>
      </c>
      <c r="F973" s="2" t="s">
        <v>389</v>
      </c>
      <c r="G973" s="2">
        <v>2</v>
      </c>
      <c r="H973" s="2">
        <v>50000</v>
      </c>
      <c r="I973" s="2">
        <v>0.15</v>
      </c>
      <c r="J973" s="3">
        <f t="shared" si="16"/>
        <v>85000</v>
      </c>
      <c r="K973" s="2" t="str">
        <f>TEXT(Table4[OrderDate], "mmmm")</f>
        <v>July</v>
      </c>
      <c r="L973" s="2">
        <f>IF(C973 = "", 0, IF(COUNTIF($C$2:C973, C973) = 1, 1, 0))</f>
        <v>0</v>
      </c>
    </row>
    <row r="974" spans="1:12" x14ac:dyDescent="0.25">
      <c r="A974" s="2">
        <v>1255</v>
      </c>
      <c r="B974" s="21" t="s">
        <v>157</v>
      </c>
      <c r="C974" s="2" t="s">
        <v>362</v>
      </c>
      <c r="D974" s="2" t="s">
        <v>380</v>
      </c>
      <c r="E974" s="2" t="s">
        <v>383</v>
      </c>
      <c r="F974" s="2" t="s">
        <v>390</v>
      </c>
      <c r="G974" s="2">
        <v>5</v>
      </c>
      <c r="H974" s="2">
        <v>1500</v>
      </c>
      <c r="I974" s="2">
        <v>0.15</v>
      </c>
      <c r="J974" s="3">
        <f t="shared" si="16"/>
        <v>6375</v>
      </c>
      <c r="K974" s="2" t="str">
        <f>TEXT(Table4[OrderDate], "mmmm")</f>
        <v>February</v>
      </c>
      <c r="L974" s="2">
        <f>IF(C974 = "", 0, IF(COUNTIF($C$2:C974, C974) = 1, 1, 0))</f>
        <v>0</v>
      </c>
    </row>
    <row r="975" spans="1:12" x14ac:dyDescent="0.25">
      <c r="A975" s="2">
        <v>1974</v>
      </c>
      <c r="B975" s="21" t="s">
        <v>252</v>
      </c>
      <c r="C975" s="2" t="s">
        <v>370</v>
      </c>
      <c r="D975" s="2" t="s">
        <v>380</v>
      </c>
      <c r="E975" s="2" t="s">
        <v>386</v>
      </c>
      <c r="F975" s="2" t="s">
        <v>391</v>
      </c>
      <c r="G975" s="2">
        <v>2</v>
      </c>
      <c r="H975" s="2">
        <v>7000</v>
      </c>
      <c r="I975" s="2">
        <v>0.15</v>
      </c>
      <c r="J975" s="3">
        <f t="shared" si="16"/>
        <v>11900</v>
      </c>
      <c r="K975" s="2" t="str">
        <f>TEXT(Table4[OrderDate], "mmmm")</f>
        <v>January</v>
      </c>
      <c r="L975" s="2">
        <f>IF(C975 = "", 0, IF(COUNTIF($C$2:C975, C975) = 1, 1, 0))</f>
        <v>0</v>
      </c>
    </row>
    <row r="976" spans="1:12" x14ac:dyDescent="0.25">
      <c r="A976" s="2">
        <v>1975</v>
      </c>
      <c r="B976" s="21" t="s">
        <v>355</v>
      </c>
      <c r="C976" s="2" t="s">
        <v>364</v>
      </c>
      <c r="D976" s="2" t="s">
        <v>378</v>
      </c>
      <c r="E976" s="2" t="s">
        <v>383</v>
      </c>
      <c r="F976" s="2" t="s">
        <v>390</v>
      </c>
      <c r="G976" s="2">
        <v>3</v>
      </c>
      <c r="H976" s="2">
        <v>1500</v>
      </c>
      <c r="I976" s="2">
        <v>0</v>
      </c>
      <c r="J976" s="3">
        <f t="shared" si="16"/>
        <v>4500</v>
      </c>
      <c r="K976" s="2" t="str">
        <f>TEXT(Table4[OrderDate], "mmmm")</f>
        <v>February</v>
      </c>
      <c r="L976" s="2">
        <f>IF(C976 = "", 0, IF(COUNTIF($C$2:C976, C976) = 1, 1, 0))</f>
        <v>0</v>
      </c>
    </row>
    <row r="977" spans="1:12" x14ac:dyDescent="0.25">
      <c r="A977" s="2">
        <v>1976</v>
      </c>
      <c r="B977" s="21" t="s">
        <v>63</v>
      </c>
      <c r="C977" s="2" t="s">
        <v>362</v>
      </c>
      <c r="D977" s="2" t="s">
        <v>379</v>
      </c>
      <c r="E977" s="2" t="s">
        <v>386</v>
      </c>
      <c r="F977" s="2" t="s">
        <v>391</v>
      </c>
      <c r="G977" s="2">
        <v>3</v>
      </c>
      <c r="H977" s="2">
        <v>7000</v>
      </c>
      <c r="I977" s="2">
        <v>0.1</v>
      </c>
      <c r="J977" s="3">
        <f t="shared" si="16"/>
        <v>18900</v>
      </c>
      <c r="K977" s="2" t="str">
        <f>TEXT(Table4[OrderDate], "mmmm")</f>
        <v>May</v>
      </c>
      <c r="L977" s="2">
        <f>IF(C977 = "", 0, IF(COUNTIF($C$2:C977, C977) = 1, 1, 0))</f>
        <v>0</v>
      </c>
    </row>
    <row r="978" spans="1:12" x14ac:dyDescent="0.25">
      <c r="A978" s="2">
        <v>1977</v>
      </c>
      <c r="B978" s="21" t="s">
        <v>323</v>
      </c>
      <c r="C978" s="2" t="s">
        <v>371</v>
      </c>
      <c r="D978" s="2" t="s">
        <v>376</v>
      </c>
      <c r="E978" s="2" t="s">
        <v>383</v>
      </c>
      <c r="F978" s="2" t="s">
        <v>390</v>
      </c>
      <c r="G978" s="2">
        <v>4</v>
      </c>
      <c r="H978" s="2">
        <v>1500</v>
      </c>
      <c r="I978" s="2">
        <v>0.05</v>
      </c>
      <c r="J978" s="3">
        <f t="shared" si="16"/>
        <v>5700</v>
      </c>
      <c r="K978" s="2" t="str">
        <f>TEXT(Table4[OrderDate], "mmmm")</f>
        <v>December</v>
      </c>
      <c r="L978" s="2">
        <f>IF(C978 = "", 0, IF(COUNTIF($C$2:C978, C978) = 1, 1, 0))</f>
        <v>0</v>
      </c>
    </row>
    <row r="979" spans="1:12" x14ac:dyDescent="0.25">
      <c r="A979" s="2">
        <v>1978</v>
      </c>
      <c r="B979" s="21" t="s">
        <v>323</v>
      </c>
      <c r="C979" s="2" t="s">
        <v>359</v>
      </c>
      <c r="D979" s="2" t="s">
        <v>377</v>
      </c>
      <c r="E979" s="2" t="s">
        <v>384</v>
      </c>
      <c r="F979" s="2" t="s">
        <v>389</v>
      </c>
      <c r="G979" s="2">
        <v>3</v>
      </c>
      <c r="H979" s="2">
        <v>30000</v>
      </c>
      <c r="I979" s="2">
        <v>0</v>
      </c>
      <c r="J979" s="3">
        <f t="shared" si="16"/>
        <v>90000</v>
      </c>
      <c r="K979" s="2" t="str">
        <f>TEXT(Table4[OrderDate], "mmmm")</f>
        <v>December</v>
      </c>
      <c r="L979" s="2">
        <f>IF(C979 = "", 0, IF(COUNTIF($C$2:C979, C979) = 1, 1, 0))</f>
        <v>0</v>
      </c>
    </row>
    <row r="980" spans="1:12" x14ac:dyDescent="0.25">
      <c r="A980" s="2">
        <v>1979</v>
      </c>
      <c r="B980" s="21" t="s">
        <v>180</v>
      </c>
      <c r="C980" s="2" t="s">
        <v>362</v>
      </c>
      <c r="D980" s="2" t="s">
        <v>380</v>
      </c>
      <c r="E980" s="2" t="s">
        <v>382</v>
      </c>
      <c r="F980" s="2" t="s">
        <v>389</v>
      </c>
      <c r="G980" s="2">
        <v>4</v>
      </c>
      <c r="H980" s="2">
        <v>50000</v>
      </c>
      <c r="I980" s="2">
        <v>0</v>
      </c>
      <c r="J980" s="3">
        <f t="shared" si="16"/>
        <v>200000</v>
      </c>
      <c r="K980" s="2" t="str">
        <f>TEXT(Table4[OrderDate], "mmmm")</f>
        <v>September</v>
      </c>
      <c r="L980" s="2">
        <f>IF(C980 = "", 0, IF(COUNTIF($C$2:C980, C980) = 1, 1, 0))</f>
        <v>0</v>
      </c>
    </row>
    <row r="981" spans="1:12" x14ac:dyDescent="0.25">
      <c r="A981" s="2">
        <v>1980</v>
      </c>
      <c r="B981" s="21" t="s">
        <v>259</v>
      </c>
      <c r="C981" s="2" t="s">
        <v>371</v>
      </c>
      <c r="D981" s="2" t="s">
        <v>374</v>
      </c>
      <c r="E981" s="2" t="s">
        <v>385</v>
      </c>
      <c r="F981" s="2" t="s">
        <v>390</v>
      </c>
      <c r="G981" s="2">
        <v>2</v>
      </c>
      <c r="H981" s="2">
        <v>2000</v>
      </c>
      <c r="I981" s="2">
        <v>0.1</v>
      </c>
      <c r="J981" s="3">
        <f t="shared" si="16"/>
        <v>3600</v>
      </c>
      <c r="K981" s="2" t="str">
        <f>TEXT(Table4[OrderDate], "mmmm")</f>
        <v>May</v>
      </c>
      <c r="L981" s="2">
        <f>IF(C981 = "", 0, IF(COUNTIF($C$2:C981, C981) = 1, 1, 0))</f>
        <v>0</v>
      </c>
    </row>
    <row r="982" spans="1:12" x14ac:dyDescent="0.25">
      <c r="A982" s="2">
        <v>1363</v>
      </c>
      <c r="B982" s="21" t="s">
        <v>220</v>
      </c>
      <c r="C982" s="2" t="s">
        <v>364</v>
      </c>
      <c r="D982" s="2" t="s">
        <v>378</v>
      </c>
      <c r="E982" s="2" t="s">
        <v>383</v>
      </c>
      <c r="F982" s="2" t="s">
        <v>390</v>
      </c>
      <c r="G982" s="2">
        <v>5</v>
      </c>
      <c r="H982" s="2">
        <v>1500</v>
      </c>
      <c r="I982" s="2">
        <v>0.15</v>
      </c>
      <c r="J982" s="3">
        <f t="shared" si="16"/>
        <v>6375</v>
      </c>
      <c r="K982" s="2" t="str">
        <f>TEXT(Table4[OrderDate], "mmmm")</f>
        <v>January</v>
      </c>
      <c r="L982" s="2">
        <f>IF(C982 = "", 0, IF(COUNTIF($C$2:C982, C982) = 1, 1, 0))</f>
        <v>0</v>
      </c>
    </row>
    <row r="983" spans="1:12" x14ac:dyDescent="0.25">
      <c r="A983" s="2">
        <v>1982</v>
      </c>
      <c r="B983" s="21" t="s">
        <v>298</v>
      </c>
      <c r="C983" s="2" t="s">
        <v>369</v>
      </c>
      <c r="D983" s="2" t="s">
        <v>377</v>
      </c>
      <c r="E983" s="2" t="s">
        <v>381</v>
      </c>
      <c r="F983" s="2" t="s">
        <v>389</v>
      </c>
      <c r="G983" s="2">
        <v>1</v>
      </c>
      <c r="H983" s="2">
        <v>20000</v>
      </c>
      <c r="I983" s="2">
        <v>0.05</v>
      </c>
      <c r="J983" s="3">
        <f t="shared" si="16"/>
        <v>19000</v>
      </c>
      <c r="K983" s="2" t="str">
        <f>TEXT(Table4[OrderDate], "mmmm")</f>
        <v>July</v>
      </c>
      <c r="L983" s="2">
        <f>IF(C983 = "", 0, IF(COUNTIF($C$2:C983, C983) = 1, 1, 0))</f>
        <v>0</v>
      </c>
    </row>
    <row r="984" spans="1:12" x14ac:dyDescent="0.25">
      <c r="A984" s="2">
        <v>1983</v>
      </c>
      <c r="B984" s="21" t="s">
        <v>208</v>
      </c>
      <c r="C984" s="2" t="s">
        <v>365</v>
      </c>
      <c r="D984" s="2" t="s">
        <v>380</v>
      </c>
      <c r="E984" s="2" t="s">
        <v>384</v>
      </c>
      <c r="F984" s="2" t="s">
        <v>389</v>
      </c>
      <c r="G984" s="2">
        <v>3</v>
      </c>
      <c r="H984" s="2">
        <v>30000</v>
      </c>
      <c r="I984" s="2">
        <v>0.1</v>
      </c>
      <c r="J984" s="3">
        <f t="shared" si="16"/>
        <v>81000</v>
      </c>
      <c r="K984" s="2" t="str">
        <f>TEXT(Table4[OrderDate], "mmmm")</f>
        <v>August</v>
      </c>
      <c r="L984" s="2">
        <f>IF(C984 = "", 0, IF(COUNTIF($C$2:C984, C984) = 1, 1, 0))</f>
        <v>0</v>
      </c>
    </row>
    <row r="985" spans="1:12" x14ac:dyDescent="0.25">
      <c r="A985" s="2">
        <v>1984</v>
      </c>
      <c r="B985" s="21" t="s">
        <v>182</v>
      </c>
      <c r="C985" s="2" t="s">
        <v>369</v>
      </c>
      <c r="D985" s="2" t="s">
        <v>377</v>
      </c>
      <c r="E985" s="2" t="s">
        <v>386</v>
      </c>
      <c r="F985" s="2" t="s">
        <v>391</v>
      </c>
      <c r="G985" s="2">
        <v>4</v>
      </c>
      <c r="H985" s="2">
        <v>7000</v>
      </c>
      <c r="I985" s="2">
        <v>0.1</v>
      </c>
      <c r="J985" s="3">
        <f t="shared" si="16"/>
        <v>25200</v>
      </c>
      <c r="K985" s="2" t="str">
        <f>TEXT(Table4[OrderDate], "mmmm")</f>
        <v>May</v>
      </c>
      <c r="L985" s="2">
        <f>IF(C985 = "", 0, IF(COUNTIF($C$2:C985, C985) = 1, 1, 0))</f>
        <v>0</v>
      </c>
    </row>
    <row r="986" spans="1:12" x14ac:dyDescent="0.25">
      <c r="A986" s="2">
        <v>1985</v>
      </c>
      <c r="B986" s="21" t="s">
        <v>151</v>
      </c>
      <c r="C986" s="2" t="s">
        <v>366</v>
      </c>
      <c r="D986" s="2" t="s">
        <v>374</v>
      </c>
      <c r="E986" s="2" t="s">
        <v>386</v>
      </c>
      <c r="F986" s="2" t="s">
        <v>391</v>
      </c>
      <c r="G986" s="2">
        <v>1</v>
      </c>
      <c r="H986" s="2">
        <v>7000</v>
      </c>
      <c r="I986" s="2">
        <v>0.15</v>
      </c>
      <c r="J986" s="3">
        <f t="shared" si="16"/>
        <v>5950</v>
      </c>
      <c r="K986" s="2" t="str">
        <f>TEXT(Table4[OrderDate], "mmmm")</f>
        <v>July</v>
      </c>
      <c r="L986" s="2">
        <f>IF(C986 = "", 0, IF(COUNTIF($C$2:C986, C986) = 1, 1, 0))</f>
        <v>0</v>
      </c>
    </row>
    <row r="987" spans="1:12" x14ac:dyDescent="0.25">
      <c r="A987" s="2">
        <v>1986</v>
      </c>
      <c r="B987" s="21" t="s">
        <v>282</v>
      </c>
      <c r="C987" s="2" t="s">
        <v>365</v>
      </c>
      <c r="D987" s="2" t="s">
        <v>380</v>
      </c>
      <c r="E987" s="2" t="s">
        <v>386</v>
      </c>
      <c r="F987" s="2" t="s">
        <v>391</v>
      </c>
      <c r="G987" s="2">
        <v>3</v>
      </c>
      <c r="H987" s="2">
        <v>7000</v>
      </c>
      <c r="I987" s="2">
        <v>0.05</v>
      </c>
      <c r="J987" s="3">
        <f t="shared" si="16"/>
        <v>19950</v>
      </c>
      <c r="K987" s="2" t="str">
        <f>TEXT(Table4[OrderDate], "mmmm")</f>
        <v>August</v>
      </c>
      <c r="L987" s="2">
        <f>IF(C987 = "", 0, IF(COUNTIF($C$2:C987, C987) = 1, 1, 0))</f>
        <v>0</v>
      </c>
    </row>
    <row r="988" spans="1:12" x14ac:dyDescent="0.25">
      <c r="A988" s="2">
        <v>1520</v>
      </c>
      <c r="B988" s="21" t="s">
        <v>159</v>
      </c>
      <c r="C988" s="2" t="s">
        <v>365</v>
      </c>
      <c r="D988" s="2" t="s">
        <v>379</v>
      </c>
      <c r="E988" s="2" t="s">
        <v>383</v>
      </c>
      <c r="F988" s="2" t="s">
        <v>390</v>
      </c>
      <c r="G988" s="2">
        <v>5</v>
      </c>
      <c r="H988" s="2">
        <v>1500</v>
      </c>
      <c r="I988" s="2">
        <v>0.15</v>
      </c>
      <c r="J988" s="3">
        <f t="shared" si="16"/>
        <v>6375</v>
      </c>
      <c r="K988" s="2" t="str">
        <f>TEXT(Table4[OrderDate], "mmmm")</f>
        <v>February</v>
      </c>
      <c r="L988" s="2">
        <f>IF(C988 = "", 0, IF(COUNTIF($C$2:C988, C988) = 1, 1, 0))</f>
        <v>0</v>
      </c>
    </row>
    <row r="989" spans="1:12" x14ac:dyDescent="0.25">
      <c r="A989" s="2">
        <v>1559</v>
      </c>
      <c r="B989" s="21" t="s">
        <v>267</v>
      </c>
      <c r="C989" s="2" t="s">
        <v>367</v>
      </c>
      <c r="D989" s="2" t="s">
        <v>375</v>
      </c>
      <c r="E989" s="2" t="s">
        <v>383</v>
      </c>
      <c r="F989" s="2" t="s">
        <v>390</v>
      </c>
      <c r="G989" s="2">
        <v>5</v>
      </c>
      <c r="H989" s="2">
        <v>1500</v>
      </c>
      <c r="I989" s="2">
        <v>0.15</v>
      </c>
      <c r="J989" s="3">
        <f t="shared" si="16"/>
        <v>6375</v>
      </c>
      <c r="K989" s="2" t="str">
        <f>TEXT(Table4[OrderDate], "mmmm")</f>
        <v>October</v>
      </c>
      <c r="L989" s="2">
        <f>IF(C989 = "", 0, IF(COUNTIF($C$2:C989, C989) = 1, 1, 0))</f>
        <v>0</v>
      </c>
    </row>
    <row r="990" spans="1:12" x14ac:dyDescent="0.25">
      <c r="A990" s="2">
        <v>1989</v>
      </c>
      <c r="B990" s="21" t="s">
        <v>207</v>
      </c>
      <c r="C990" s="2" t="s">
        <v>365</v>
      </c>
      <c r="D990" s="2" t="s">
        <v>379</v>
      </c>
      <c r="E990" s="2" t="s">
        <v>386</v>
      </c>
      <c r="F990" s="2" t="s">
        <v>391</v>
      </c>
      <c r="G990" s="2">
        <v>1</v>
      </c>
      <c r="H990" s="2">
        <v>7000</v>
      </c>
      <c r="I990" s="2">
        <v>0</v>
      </c>
      <c r="J990" s="3">
        <f t="shared" si="16"/>
        <v>7000</v>
      </c>
      <c r="K990" s="2" t="str">
        <f>TEXT(Table4[OrderDate], "mmmm")</f>
        <v>February</v>
      </c>
      <c r="L990" s="2">
        <f>IF(C990 = "", 0, IF(COUNTIF($C$2:C990, C990) = 1, 1, 0))</f>
        <v>0</v>
      </c>
    </row>
    <row r="991" spans="1:12" x14ac:dyDescent="0.25">
      <c r="A991" s="2">
        <v>1990</v>
      </c>
      <c r="B991" s="21" t="s">
        <v>128</v>
      </c>
      <c r="C991" s="2" t="s">
        <v>359</v>
      </c>
      <c r="D991" s="2" t="s">
        <v>374</v>
      </c>
      <c r="E991" s="2" t="s">
        <v>388</v>
      </c>
      <c r="F991" s="2" t="s">
        <v>389</v>
      </c>
      <c r="G991" s="2">
        <v>1</v>
      </c>
      <c r="H991" s="2">
        <v>12000</v>
      </c>
      <c r="I991" s="2">
        <v>0.15</v>
      </c>
      <c r="J991" s="3">
        <f t="shared" si="16"/>
        <v>10200</v>
      </c>
      <c r="K991" s="2" t="str">
        <f>TEXT(Table4[OrderDate], "mmmm")</f>
        <v>March</v>
      </c>
      <c r="L991" s="2">
        <f>IF(C991 = "", 0, IF(COUNTIF($C$2:C991, C991) = 1, 1, 0))</f>
        <v>0</v>
      </c>
    </row>
    <row r="992" spans="1:12" x14ac:dyDescent="0.25">
      <c r="A992" s="2">
        <v>1991</v>
      </c>
      <c r="B992" s="21" t="s">
        <v>238</v>
      </c>
      <c r="C992" s="2" t="s">
        <v>366</v>
      </c>
      <c r="D992" s="2" t="s">
        <v>378</v>
      </c>
      <c r="E992" s="2" t="s">
        <v>383</v>
      </c>
      <c r="F992" s="2" t="s">
        <v>390</v>
      </c>
      <c r="G992" s="2">
        <v>3</v>
      </c>
      <c r="H992" s="2">
        <v>1500</v>
      </c>
      <c r="I992" s="2">
        <v>0.05</v>
      </c>
      <c r="J992" s="3">
        <f t="shared" si="16"/>
        <v>4275</v>
      </c>
      <c r="K992" s="2" t="str">
        <f>TEXT(Table4[OrderDate], "mmmm")</f>
        <v>December</v>
      </c>
      <c r="L992" s="2">
        <f>IF(C992 = "", 0, IF(COUNTIF($C$2:C992, C992) = 1, 1, 0))</f>
        <v>0</v>
      </c>
    </row>
    <row r="993" spans="1:12" x14ac:dyDescent="0.25">
      <c r="A993" s="2">
        <v>1564</v>
      </c>
      <c r="B993" s="21" t="s">
        <v>123</v>
      </c>
      <c r="C993" s="2" t="s">
        <v>366</v>
      </c>
      <c r="D993" s="2" t="s">
        <v>379</v>
      </c>
      <c r="E993" s="2" t="s">
        <v>383</v>
      </c>
      <c r="F993" s="2" t="s">
        <v>390</v>
      </c>
      <c r="G993" s="2">
        <v>5</v>
      </c>
      <c r="H993" s="2">
        <v>1500</v>
      </c>
      <c r="I993" s="2">
        <v>0.15</v>
      </c>
      <c r="J993" s="3">
        <f t="shared" si="16"/>
        <v>6375</v>
      </c>
      <c r="K993" s="2" t="str">
        <f>TEXT(Table4[OrderDate], "mmmm")</f>
        <v>October</v>
      </c>
      <c r="L993" s="2">
        <f>IF(C993 = "", 0, IF(COUNTIF($C$2:C993, C993) = 1, 1, 0))</f>
        <v>0</v>
      </c>
    </row>
    <row r="994" spans="1:12" x14ac:dyDescent="0.25">
      <c r="A994" s="2">
        <v>1599</v>
      </c>
      <c r="B994" s="21" t="s">
        <v>169</v>
      </c>
      <c r="C994" s="2" t="s">
        <v>366</v>
      </c>
      <c r="D994" s="2" t="s">
        <v>373</v>
      </c>
      <c r="E994" s="2" t="s">
        <v>383</v>
      </c>
      <c r="F994" s="2" t="s">
        <v>390</v>
      </c>
      <c r="G994" s="2">
        <v>5</v>
      </c>
      <c r="H994" s="2">
        <v>1500</v>
      </c>
      <c r="I994" s="2">
        <v>0.15</v>
      </c>
      <c r="J994" s="3">
        <f t="shared" si="16"/>
        <v>6375</v>
      </c>
      <c r="K994" s="2" t="str">
        <f>TEXT(Table4[OrderDate], "mmmm")</f>
        <v>March</v>
      </c>
      <c r="L994" s="2">
        <f>IF(C994 = "", 0, IF(COUNTIF($C$2:C994, C994) = 1, 1, 0))</f>
        <v>0</v>
      </c>
    </row>
    <row r="995" spans="1:12" x14ac:dyDescent="0.25">
      <c r="A995" s="2">
        <v>1723</v>
      </c>
      <c r="B995" s="21" t="s">
        <v>59</v>
      </c>
      <c r="C995" s="2" t="s">
        <v>372</v>
      </c>
      <c r="D995" s="2" t="s">
        <v>378</v>
      </c>
      <c r="E995" s="2" t="s">
        <v>383</v>
      </c>
      <c r="F995" s="2" t="s">
        <v>390</v>
      </c>
      <c r="G995" s="2">
        <v>5</v>
      </c>
      <c r="H995" s="2">
        <v>1500</v>
      </c>
      <c r="I995" s="2">
        <v>0.15</v>
      </c>
      <c r="J995" s="3">
        <f t="shared" si="16"/>
        <v>6375</v>
      </c>
      <c r="K995" s="2" t="str">
        <f>TEXT(Table4[OrderDate], "mmmm")</f>
        <v>July</v>
      </c>
      <c r="L995" s="2">
        <f>IF(C995 = "", 0, IF(COUNTIF($C$2:C995, C995) = 1, 1, 0))</f>
        <v>0</v>
      </c>
    </row>
    <row r="996" spans="1:12" x14ac:dyDescent="0.25">
      <c r="A996" s="2">
        <v>1995</v>
      </c>
      <c r="B996" s="21" t="s">
        <v>228</v>
      </c>
      <c r="C996" s="2" t="s">
        <v>366</v>
      </c>
      <c r="D996" s="2" t="s">
        <v>377</v>
      </c>
      <c r="E996" s="2" t="s">
        <v>382</v>
      </c>
      <c r="F996" s="2" t="s">
        <v>389</v>
      </c>
      <c r="G996" s="2">
        <v>1</v>
      </c>
      <c r="H996" s="2">
        <v>50000</v>
      </c>
      <c r="I996" s="2">
        <v>0.1</v>
      </c>
      <c r="J996" s="3">
        <f t="shared" si="16"/>
        <v>45000</v>
      </c>
      <c r="K996" s="2" t="str">
        <f>TEXT(Table4[OrderDate], "mmmm")</f>
        <v>September</v>
      </c>
      <c r="L996" s="2">
        <f>IF(C996 = "", 0, IF(COUNTIF($C$2:C996, C996) = 1, 1, 0))</f>
        <v>0</v>
      </c>
    </row>
    <row r="997" spans="1:12" x14ac:dyDescent="0.25">
      <c r="A997" s="2">
        <v>1996</v>
      </c>
      <c r="B997" s="21" t="s">
        <v>78</v>
      </c>
      <c r="C997" s="2" t="s">
        <v>372</v>
      </c>
      <c r="D997" s="2" t="s">
        <v>378</v>
      </c>
      <c r="E997" s="2" t="s">
        <v>388</v>
      </c>
      <c r="F997" s="2" t="s">
        <v>389</v>
      </c>
      <c r="G997" s="2">
        <v>3</v>
      </c>
      <c r="H997" s="2">
        <v>12000</v>
      </c>
      <c r="I997" s="2">
        <v>0.05</v>
      </c>
      <c r="J997" s="3">
        <f t="shared" si="16"/>
        <v>34200</v>
      </c>
      <c r="K997" s="2" t="str">
        <f>TEXT(Table4[OrderDate], "mmmm")</f>
        <v>March</v>
      </c>
      <c r="L997" s="2">
        <f>IF(C997 = "", 0, IF(COUNTIF($C$2:C997, C997) = 1, 1, 0))</f>
        <v>0</v>
      </c>
    </row>
    <row r="998" spans="1:12" x14ac:dyDescent="0.25">
      <c r="A998" s="2">
        <v>1997</v>
      </c>
      <c r="B998" s="21" t="s">
        <v>256</v>
      </c>
      <c r="C998" s="2" t="s">
        <v>364</v>
      </c>
      <c r="D998" s="2" t="s">
        <v>380</v>
      </c>
      <c r="E998" s="2" t="s">
        <v>387</v>
      </c>
      <c r="F998" s="2" t="s">
        <v>391</v>
      </c>
      <c r="G998" s="2">
        <v>3</v>
      </c>
      <c r="H998" s="2">
        <v>3000</v>
      </c>
      <c r="I998" s="2">
        <v>0.15</v>
      </c>
      <c r="J998" s="3">
        <f t="shared" si="16"/>
        <v>7650</v>
      </c>
      <c r="K998" s="2" t="str">
        <f>TEXT(Table4[OrderDate], "mmmm")</f>
        <v>February</v>
      </c>
      <c r="L998" s="2">
        <f>IF(C998 = "", 0, IF(COUNTIF($C$2:C998, C998) = 1, 1, 0))</f>
        <v>0</v>
      </c>
    </row>
    <row r="999" spans="1:12" x14ac:dyDescent="0.25">
      <c r="A999" s="2">
        <v>1998</v>
      </c>
      <c r="B999" s="21" t="s">
        <v>25</v>
      </c>
      <c r="C999" s="2" t="s">
        <v>372</v>
      </c>
      <c r="D999" s="2" t="s">
        <v>375</v>
      </c>
      <c r="E999" s="2" t="s">
        <v>381</v>
      </c>
      <c r="F999" s="2" t="s">
        <v>389</v>
      </c>
      <c r="G999" s="2">
        <v>4</v>
      </c>
      <c r="H999" s="2">
        <v>20000</v>
      </c>
      <c r="I999" s="2">
        <v>0.05</v>
      </c>
      <c r="J999" s="3">
        <f t="shared" si="16"/>
        <v>76000</v>
      </c>
      <c r="K999" s="2" t="str">
        <f>TEXT(Table4[OrderDate], "mmmm")</f>
        <v>March</v>
      </c>
      <c r="L999" s="2">
        <f>IF(C999 = "", 0, IF(COUNTIF($C$2:C999, C999) = 1, 1, 0))</f>
        <v>0</v>
      </c>
    </row>
    <row r="1000" spans="1:12" x14ac:dyDescent="0.25">
      <c r="A1000" s="2">
        <v>1789</v>
      </c>
      <c r="B1000" s="21" t="s">
        <v>289</v>
      </c>
      <c r="C1000" s="2" t="s">
        <v>357</v>
      </c>
      <c r="D1000" s="2" t="s">
        <v>373</v>
      </c>
      <c r="E1000" s="2" t="s">
        <v>383</v>
      </c>
      <c r="F1000" s="2" t="s">
        <v>390</v>
      </c>
      <c r="G1000" s="2">
        <v>5</v>
      </c>
      <c r="H1000" s="2">
        <v>1500</v>
      </c>
      <c r="I1000" s="2">
        <v>0.15</v>
      </c>
      <c r="J1000" s="3">
        <f t="shared" si="16"/>
        <v>6375</v>
      </c>
      <c r="K1000" s="2" t="str">
        <f>TEXT(Table4[OrderDate], "mmmm")</f>
        <v>July</v>
      </c>
      <c r="L1000" s="2">
        <f>IF(C1000 = "", 0, IF(COUNTIF($C$2:C1000, C1000) = 1, 1, 0))</f>
        <v>0</v>
      </c>
    </row>
    <row r="1001" spans="1:12" x14ac:dyDescent="0.25">
      <c r="A1001" s="2">
        <v>2000</v>
      </c>
      <c r="B1001" s="21" t="s">
        <v>284</v>
      </c>
      <c r="C1001" s="2" t="s">
        <v>372</v>
      </c>
      <c r="D1001" s="2" t="s">
        <v>376</v>
      </c>
      <c r="E1001" s="2" t="s">
        <v>386</v>
      </c>
      <c r="F1001" s="2" t="s">
        <v>391</v>
      </c>
      <c r="G1001" s="2">
        <v>4</v>
      </c>
      <c r="H1001" s="2">
        <v>7000</v>
      </c>
      <c r="I1001" s="2">
        <v>0.15</v>
      </c>
      <c r="J1001" s="3">
        <f t="shared" ref="J1001" si="17">H1001*(1-I1001)*G1001</f>
        <v>23800</v>
      </c>
      <c r="K1001" s="2" t="str">
        <f>TEXT(Table4[OrderDate], "mmmm")</f>
        <v>January</v>
      </c>
      <c r="L1001" s="2">
        <f>IF(C1001 = "", 0, IF(COUNTIF($C$2:C1001, C1001) = 1, 1, 0))</f>
        <v>0</v>
      </c>
    </row>
  </sheetData>
  <sortState ref="R33:S40">
    <sortCondition descending="1" ref="S33:S40"/>
  </sortState>
  <mergeCells count="2">
    <mergeCell ref="N1:O1"/>
    <mergeCell ref="N6:O6"/>
  </mergeCell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2"/>
  <sheetViews>
    <sheetView workbookViewId="0">
      <selection activeCell="C2" sqref="C2"/>
    </sheetView>
  </sheetViews>
  <sheetFormatPr defaultRowHeight="15" x14ac:dyDescent="0.25"/>
  <cols>
    <col min="1" max="1" width="11.28515625" bestFit="1" customWidth="1"/>
    <col min="2" max="2" width="14.85546875" customWidth="1"/>
    <col min="3" max="3" width="12.140625" bestFit="1" customWidth="1"/>
    <col min="4" max="4" width="10.5703125" bestFit="1" customWidth="1"/>
    <col min="5" max="5" width="12.140625" bestFit="1" customWidth="1"/>
    <col min="7" max="7" width="12.140625" bestFit="1" customWidth="1"/>
    <col min="8" max="8" width="13.85546875" bestFit="1" customWidth="1"/>
    <col min="11" max="11" width="11.28515625" bestFit="1" customWidth="1"/>
    <col min="12" max="12" width="13" bestFit="1" customWidth="1"/>
    <col min="13" max="13" width="11" bestFit="1" customWidth="1"/>
    <col min="14" max="14" width="10.85546875" bestFit="1" customWidth="1"/>
  </cols>
  <sheetData>
    <row r="1" spans="1:15" x14ac:dyDescent="0.25">
      <c r="A1" s="36" t="s">
        <v>392</v>
      </c>
      <c r="B1" s="36"/>
      <c r="C1" s="11">
        <f>SUM(Dateset!J2:J1001)</f>
        <v>44952975</v>
      </c>
    </row>
    <row r="2" spans="1:15" x14ac:dyDescent="0.25">
      <c r="A2" s="36" t="s">
        <v>393</v>
      </c>
      <c r="B2" s="36"/>
      <c r="C2" s="10">
        <f>COUNTA(Dateset!A2:A1001)</f>
        <v>1000</v>
      </c>
      <c r="O2" s="35"/>
    </row>
    <row r="3" spans="1:15" x14ac:dyDescent="0.25">
      <c r="A3" s="8"/>
      <c r="B3" s="8"/>
      <c r="G3" s="15" t="s">
        <v>3</v>
      </c>
      <c r="H3" s="15" t="s">
        <v>408</v>
      </c>
      <c r="O3" s="35"/>
    </row>
    <row r="4" spans="1:15" x14ac:dyDescent="0.25">
      <c r="A4" s="25" t="s">
        <v>381</v>
      </c>
      <c r="B4" s="25">
        <f>SUMIF(Table4[Product], Analysis!A4, Table4[Quantity])</f>
        <v>427</v>
      </c>
      <c r="D4" s="10" t="s">
        <v>389</v>
      </c>
      <c r="E4" s="26">
        <f>SUMIF(Table4[Category], Analysis!D4, Table4[Sales])</f>
        <v>40606300</v>
      </c>
      <c r="F4" s="19"/>
      <c r="G4" s="15" t="s">
        <v>377</v>
      </c>
      <c r="H4" s="15">
        <f>SUMIF(Table4[City], Analysis!G4, Table4[Sales])</f>
        <v>6073200</v>
      </c>
      <c r="O4" s="35"/>
    </row>
    <row r="5" spans="1:15" x14ac:dyDescent="0.25">
      <c r="A5" s="25" t="s">
        <v>383</v>
      </c>
      <c r="B5" s="25">
        <f>SUMIF(Table4[Product], Analysis!A5, Table4[Quantity])</f>
        <v>410</v>
      </c>
      <c r="E5" s="20"/>
      <c r="F5" s="19"/>
      <c r="G5" s="15" t="s">
        <v>379</v>
      </c>
      <c r="H5" s="15">
        <f>SUMIF(Table4[City], Analysis!G5, Table4[Sales])</f>
        <v>6282050</v>
      </c>
      <c r="O5" s="35"/>
    </row>
    <row r="6" spans="1:15" x14ac:dyDescent="0.25">
      <c r="A6" s="25" t="s">
        <v>384</v>
      </c>
      <c r="B6" s="25">
        <f>SUMIF(Table4[Product], Analysis!A6, Table4[Quantity])</f>
        <v>404</v>
      </c>
      <c r="E6" s="20"/>
      <c r="F6" s="19"/>
      <c r="G6" s="15" t="s">
        <v>373</v>
      </c>
      <c r="H6" s="15">
        <f>SUMIF(Table4[City], Analysis!G6, Table4[Sales])</f>
        <v>6509800</v>
      </c>
      <c r="O6" s="35"/>
    </row>
    <row r="7" spans="1:15" x14ac:dyDescent="0.25">
      <c r="A7" s="25" t="s">
        <v>382</v>
      </c>
      <c r="B7" s="25">
        <f>SUMIF(Table4[Product], Analysis!A7, Table4[Quantity])</f>
        <v>378</v>
      </c>
      <c r="E7" s="20"/>
      <c r="F7" s="19"/>
      <c r="G7" s="15" t="s">
        <v>376</v>
      </c>
      <c r="H7" s="15">
        <f>SUMIF(Table4[City], Analysis!G7, Table4[Sales])</f>
        <v>4577350</v>
      </c>
      <c r="O7" s="35"/>
    </row>
    <row r="8" spans="1:15" x14ac:dyDescent="0.25">
      <c r="A8" s="25" t="s">
        <v>388</v>
      </c>
      <c r="B8" s="25">
        <f>SUMIF(Table4[Product], Analysis!A8, Table4[Quantity])</f>
        <v>370</v>
      </c>
      <c r="E8" s="20"/>
      <c r="F8" s="19"/>
      <c r="G8" s="15" t="s">
        <v>378</v>
      </c>
      <c r="H8" s="15">
        <f>SUMIF(Table4[City], Analysis!G8, Table4[Sales])</f>
        <v>6085325</v>
      </c>
      <c r="O8" s="35"/>
    </row>
    <row r="9" spans="1:15" x14ac:dyDescent="0.25">
      <c r="A9" s="25" t="s">
        <v>385</v>
      </c>
      <c r="B9" s="25">
        <f>SUMIF(Table4[Product], Analysis!A9, Table4[Quantity])</f>
        <v>359</v>
      </c>
      <c r="E9" s="20"/>
      <c r="F9" s="19"/>
      <c r="G9" s="15" t="s">
        <v>375</v>
      </c>
      <c r="H9" s="15">
        <f>SUMIF(Table4[City], Analysis!G9, Table4[Sales])</f>
        <v>4591925</v>
      </c>
      <c r="O9" s="35"/>
    </row>
    <row r="10" spans="1:15" x14ac:dyDescent="0.25">
      <c r="A10" s="25" t="s">
        <v>387</v>
      </c>
      <c r="B10" s="25">
        <f>SUMIF(Table4[Product], Analysis!A10, Table4[Quantity])</f>
        <v>357</v>
      </c>
      <c r="E10" s="20"/>
      <c r="F10" s="19"/>
      <c r="G10" s="15" t="s">
        <v>380</v>
      </c>
      <c r="H10" s="15">
        <f>SUMIF(Table4[City], Analysis!G10, Table4[Sales])</f>
        <v>6270225</v>
      </c>
      <c r="O10" s="35"/>
    </row>
    <row r="11" spans="1:15" x14ac:dyDescent="0.25">
      <c r="A11" s="25" t="s">
        <v>386</v>
      </c>
      <c r="B11" s="25">
        <f>SUMIF(Table4[Product], Analysis!A11, Table4[Quantity])</f>
        <v>329</v>
      </c>
      <c r="E11" s="20"/>
      <c r="F11" s="19"/>
      <c r="G11" s="15" t="s">
        <v>374</v>
      </c>
      <c r="H11" s="15">
        <f>SUMIF(Table4[City], Analysis!G11, Table4[Sales])</f>
        <v>4563100</v>
      </c>
      <c r="O11" s="35"/>
    </row>
    <row r="12" spans="1:15" x14ac:dyDescent="0.25">
      <c r="A12" s="19"/>
      <c r="B12" s="19"/>
      <c r="E12" s="19"/>
      <c r="F12" s="19"/>
      <c r="G12" s="18"/>
      <c r="O12" s="35"/>
    </row>
    <row r="13" spans="1:15" x14ac:dyDescent="0.25">
      <c r="A13" s="10"/>
      <c r="B13" s="26" t="s">
        <v>387</v>
      </c>
      <c r="C13" s="26" t="s">
        <v>385</v>
      </c>
      <c r="D13" s="26" t="s">
        <v>383</v>
      </c>
      <c r="E13" s="26" t="s">
        <v>382</v>
      </c>
      <c r="F13" s="26" t="s">
        <v>388</v>
      </c>
      <c r="G13" s="26" t="s">
        <v>381</v>
      </c>
      <c r="H13" s="27" t="s">
        <v>386</v>
      </c>
      <c r="I13" s="26" t="s">
        <v>384</v>
      </c>
      <c r="J13" s="37" t="s">
        <v>423</v>
      </c>
      <c r="K13" s="37"/>
      <c r="L13" s="37"/>
      <c r="O13" s="35"/>
    </row>
    <row r="14" spans="1:15" x14ac:dyDescent="0.25">
      <c r="A14" s="26" t="s">
        <v>373</v>
      </c>
      <c r="B14" s="10">
        <f>SUMIFS(Table4[[Sales]:[Sales]], Table4[[City]:[City]], Analysis!$A14, Table4[[Product]:[Product]], Analysis!B$13)</f>
        <v>163950</v>
      </c>
      <c r="C14" s="10">
        <f>SUMIFS(Table4[[Sales]:[Sales]], Table4[[City]:[City]], Analysis!$A14, Table4[[Product]:[Product]], Analysis!C$13)</f>
        <v>95500</v>
      </c>
      <c r="D14" s="10">
        <f>SUMIFS(Table4[[Sales]:[Sales]], Table4[[City]:[City]], Analysis!$A14, Table4[[Product]:[Product]], Analysis!D$13)</f>
        <v>52200</v>
      </c>
      <c r="E14" s="10">
        <f>SUMIFS(Table4[[Sales]:[Sales]], Table4[[City]:[City]], Analysis!$A14, Table4[[Product]:[Product]], Analysis!E$13)</f>
        <v>2640000</v>
      </c>
      <c r="F14" s="10">
        <f>SUMIFS(Table4[[Sales]:[Sales]], Table4[[City]:[City]], Analysis!$A14, Table4[[Product]:[Product]], Analysis!F$13)</f>
        <v>659400</v>
      </c>
      <c r="G14" s="10">
        <f>SUMIFS(Table4[[Sales]:[Sales]], Table4[[City]:[City]], Analysis!$A14, Table4[[Product]:[Product]], Analysis!G$13)</f>
        <v>1055000</v>
      </c>
      <c r="H14" s="28">
        <f>SUMIFS(Table4[[Sales]:[Sales]], Table4[[City]:[City]], Analysis!$A14, Table4[[Product]:[Product]], Analysis!H$13)</f>
        <v>295750</v>
      </c>
      <c r="I14" s="10">
        <f>SUMIFS(Table4[[Sales]:[Sales]], Table4[[City]:[City]], Analysis!$A14, Table4[[Product]:[Product]], Analysis!I$13)</f>
        <v>1548000</v>
      </c>
      <c r="J14" s="10">
        <f>MAX(B14:I14)</f>
        <v>2640000</v>
      </c>
      <c r="K14" s="10">
        <f>MATCH(J14, B14:I14, 0)</f>
        <v>4</v>
      </c>
      <c r="L14" s="10" t="str">
        <f>INDEX($B$13:$I$13, 1, K14)</f>
        <v>Laptop</v>
      </c>
    </row>
    <row r="15" spans="1:15" x14ac:dyDescent="0.25">
      <c r="A15" s="26" t="s">
        <v>378</v>
      </c>
      <c r="B15" s="10">
        <f>SUMIFS(Table4[[Sales]:[Sales]], Table4[[City]:[City]], Analysis!$A15, Table4[[Product]:[Product]], Analysis!B$13)</f>
        <v>88650</v>
      </c>
      <c r="C15" s="10">
        <f>SUMIFS(Table4[[Sales]:[Sales]], Table4[[City]:[City]], Analysis!$A15, Table4[[Product]:[Product]], Analysis!C$13)</f>
        <v>57700</v>
      </c>
      <c r="D15" s="10">
        <f>SUMIFS(Table4[[Sales]:[Sales]], Table4[[City]:[City]], Analysis!$A15, Table4[[Product]:[Product]], Analysis!D$13)</f>
        <v>76125</v>
      </c>
      <c r="E15" s="10">
        <f>SUMIFS(Table4[[Sales]:[Sales]], Table4[[City]:[City]], Analysis!$A15, Table4[[Product]:[Product]], Analysis!E$13)</f>
        <v>2347500</v>
      </c>
      <c r="F15" s="10">
        <f>SUMIFS(Table4[[Sales]:[Sales]], Table4[[City]:[City]], Analysis!$A15, Table4[[Product]:[Product]], Analysis!F$13)</f>
        <v>318000</v>
      </c>
      <c r="G15" s="10">
        <f>SUMIFS(Table4[[Sales]:[Sales]], Table4[[City]:[City]], Analysis!$A15, Table4[[Product]:[Product]], Analysis!G$13)</f>
        <v>1262000</v>
      </c>
      <c r="H15" s="28">
        <f>SUMIFS(Table4[[Sales]:[Sales]], Table4[[City]:[City]], Analysis!$A15, Table4[[Product]:[Product]], Analysis!H$13)</f>
        <v>168350</v>
      </c>
      <c r="I15" s="10">
        <f>SUMIFS(Table4[[Sales]:[Sales]], Table4[[City]:[City]], Analysis!$A15, Table4[[Product]:[Product]], Analysis!I$13)</f>
        <v>1767000</v>
      </c>
      <c r="J15" s="10">
        <f t="shared" ref="J15:J21" si="0">MAX(B15:I15)</f>
        <v>2347500</v>
      </c>
      <c r="K15" s="10">
        <f t="shared" ref="K15:K21" si="1">MATCH(J15, B15:I15, 0)</f>
        <v>4</v>
      </c>
      <c r="L15" s="10" t="str">
        <f t="shared" ref="L15:L21" si="2">INDEX($B$13:$I$13, 1, K15)</f>
        <v>Laptop</v>
      </c>
    </row>
    <row r="16" spans="1:15" x14ac:dyDescent="0.25">
      <c r="A16" s="26" t="s">
        <v>374</v>
      </c>
      <c r="B16" s="10">
        <f>SUMIFS(Table4[[Sales]:[Sales]], Table4[[City]:[City]], Analysis!$A16, Table4[[Product]:[Product]], Analysis!B$13)</f>
        <v>140400</v>
      </c>
      <c r="C16" s="10">
        <f>SUMIFS(Table4[[Sales]:[Sales]], Table4[[City]:[City]], Analysis!$A16, Table4[[Product]:[Product]], Analysis!C$13)</f>
        <v>67800</v>
      </c>
      <c r="D16" s="10">
        <f>SUMIFS(Table4[[Sales]:[Sales]], Table4[[City]:[City]], Analysis!$A16, Table4[[Product]:[Product]], Analysis!D$13)</f>
        <v>61500</v>
      </c>
      <c r="E16" s="10">
        <f>SUMIFS(Table4[[Sales]:[Sales]], Table4[[City]:[City]], Analysis!$A16, Table4[[Product]:[Product]], Analysis!E$13)</f>
        <v>1920000</v>
      </c>
      <c r="F16" s="10">
        <f>SUMIFS(Table4[[Sales]:[Sales]], Table4[[City]:[City]], Analysis!$A16, Table4[[Product]:[Product]], Analysis!F$13)</f>
        <v>305400</v>
      </c>
      <c r="G16" s="10">
        <f>SUMIFS(Table4[[Sales]:[Sales]], Table4[[City]:[City]], Analysis!$A16, Table4[[Product]:[Product]], Analysis!G$13)</f>
        <v>897000</v>
      </c>
      <c r="H16" s="28">
        <f>SUMIFS(Table4[[Sales]:[Sales]], Table4[[City]:[City]], Analysis!$A16, Table4[[Product]:[Product]], Analysis!H$13)</f>
        <v>175000</v>
      </c>
      <c r="I16" s="10">
        <f>SUMIFS(Table4[[Sales]:[Sales]], Table4[[City]:[City]], Analysis!$A16, Table4[[Product]:[Product]], Analysis!I$13)</f>
        <v>996000</v>
      </c>
      <c r="J16" s="10">
        <f t="shared" si="0"/>
        <v>1920000</v>
      </c>
      <c r="K16" s="10">
        <f t="shared" si="1"/>
        <v>4</v>
      </c>
      <c r="L16" s="10" t="str">
        <f t="shared" si="2"/>
        <v>Laptop</v>
      </c>
    </row>
    <row r="17" spans="1:13" x14ac:dyDescent="0.25">
      <c r="A17" s="26" t="s">
        <v>380</v>
      </c>
      <c r="B17" s="10">
        <f>SUMIFS(Table4[[Sales]:[Sales]], Table4[[City]:[City]], Analysis!$A17, Table4[[Product]:[Product]], Analysis!B$13)</f>
        <v>166650</v>
      </c>
      <c r="C17" s="10">
        <f>SUMIFS(Table4[[Sales]:[Sales]], Table4[[City]:[City]], Analysis!$A17, Table4[[Product]:[Product]], Analysis!C$13)</f>
        <v>111000</v>
      </c>
      <c r="D17" s="10">
        <f>SUMIFS(Table4[[Sales]:[Sales]], Table4[[City]:[City]], Analysis!$A17, Table4[[Product]:[Product]], Analysis!D$13)</f>
        <v>127725</v>
      </c>
      <c r="E17" s="10">
        <f>SUMIFS(Table4[[Sales]:[Sales]], Table4[[City]:[City]], Analysis!$A17, Table4[[Product]:[Product]], Analysis!E$13)</f>
        <v>2692500</v>
      </c>
      <c r="F17" s="10">
        <f>SUMIFS(Table4[[Sales]:[Sales]], Table4[[City]:[City]], Analysis!$A17, Table4[[Product]:[Product]], Analysis!F$13)</f>
        <v>460200</v>
      </c>
      <c r="G17" s="10">
        <f>SUMIFS(Table4[[Sales]:[Sales]], Table4[[City]:[City]], Analysis!$A17, Table4[[Product]:[Product]], Analysis!G$13)</f>
        <v>888000</v>
      </c>
      <c r="H17" s="28">
        <f>SUMIFS(Table4[[Sales]:[Sales]], Table4[[City]:[City]], Analysis!$A17, Table4[[Product]:[Product]], Analysis!H$13)</f>
        <v>370650</v>
      </c>
      <c r="I17" s="10">
        <f>SUMIFS(Table4[[Sales]:[Sales]], Table4[[City]:[City]], Analysis!$A17, Table4[[Product]:[Product]], Analysis!I$13)</f>
        <v>1453500</v>
      </c>
      <c r="J17" s="10">
        <f t="shared" si="0"/>
        <v>2692500</v>
      </c>
      <c r="K17" s="10">
        <f t="shared" si="1"/>
        <v>4</v>
      </c>
      <c r="L17" s="10" t="str">
        <f t="shared" si="2"/>
        <v>Laptop</v>
      </c>
    </row>
    <row r="18" spans="1:13" x14ac:dyDescent="0.25">
      <c r="A18" s="26" t="s">
        <v>379</v>
      </c>
      <c r="B18" s="10">
        <f>SUMIFS(Table4[[Sales]:[Sales]], Table4[[City]:[City]], Analysis!$A18, Table4[[Product]:[Product]], Analysis!B$13)</f>
        <v>105600</v>
      </c>
      <c r="C18" s="10">
        <f>SUMIFS(Table4[[Sales]:[Sales]], Table4[[City]:[City]], Analysis!$A18, Table4[[Product]:[Product]], Analysis!C$13)</f>
        <v>81900</v>
      </c>
      <c r="D18" s="10">
        <f>SUMIFS(Table4[[Sales]:[Sales]], Table4[[City]:[City]], Analysis!$A18, Table4[[Product]:[Product]], Analysis!D$13)</f>
        <v>64050</v>
      </c>
      <c r="E18" s="10">
        <f>SUMIFS(Table4[[Sales]:[Sales]], Table4[[City]:[City]], Analysis!$A18, Table4[[Product]:[Product]], Analysis!E$13)</f>
        <v>2442500</v>
      </c>
      <c r="F18" s="10">
        <f>SUMIFS(Table4[[Sales]:[Sales]], Table4[[City]:[City]], Analysis!$A18, Table4[[Product]:[Product]], Analysis!F$13)</f>
        <v>742800</v>
      </c>
      <c r="G18" s="10">
        <f>SUMIFS(Table4[[Sales]:[Sales]], Table4[[City]:[City]], Analysis!$A18, Table4[[Product]:[Product]], Analysis!G$13)</f>
        <v>830000</v>
      </c>
      <c r="H18" s="28">
        <f>SUMIFS(Table4[[Sales]:[Sales]], Table4[[City]:[City]], Analysis!$A18, Table4[[Product]:[Product]], Analysis!H$13)</f>
        <v>273700</v>
      </c>
      <c r="I18" s="10">
        <f>SUMIFS(Table4[[Sales]:[Sales]], Table4[[City]:[City]], Analysis!$A18, Table4[[Product]:[Product]], Analysis!I$13)</f>
        <v>1741500</v>
      </c>
      <c r="J18" s="10">
        <f t="shared" si="0"/>
        <v>2442500</v>
      </c>
      <c r="K18" s="10">
        <f t="shared" si="1"/>
        <v>4</v>
      </c>
      <c r="L18" s="10" t="str">
        <f t="shared" si="2"/>
        <v>Laptop</v>
      </c>
    </row>
    <row r="19" spans="1:13" x14ac:dyDescent="0.25">
      <c r="A19" s="26" t="s">
        <v>375</v>
      </c>
      <c r="B19" s="10">
        <f>SUMIFS(Table4[[Sales]:[Sales]], Table4[[City]:[City]], Analysis!$A19, Table4[[Product]:[Product]], Analysis!B$13)</f>
        <v>92850</v>
      </c>
      <c r="C19" s="10">
        <f>SUMIFS(Table4[[Sales]:[Sales]], Table4[[City]:[City]], Analysis!$A19, Table4[[Product]:[Product]], Analysis!C$13)</f>
        <v>62900</v>
      </c>
      <c r="D19" s="10">
        <f>SUMIFS(Table4[[Sales]:[Sales]], Table4[[City]:[City]], Analysis!$A19, Table4[[Product]:[Product]], Analysis!D$13)</f>
        <v>82275</v>
      </c>
      <c r="E19" s="10">
        <f>SUMIFS(Table4[[Sales]:[Sales]], Table4[[City]:[City]], Analysis!$A19, Table4[[Product]:[Product]], Analysis!E$13)</f>
        <v>915000</v>
      </c>
      <c r="F19" s="10">
        <f>SUMIFS(Table4[[Sales]:[Sales]], Table4[[City]:[City]], Analysis!$A19, Table4[[Product]:[Product]], Analysis!F$13)</f>
        <v>888000</v>
      </c>
      <c r="G19" s="10">
        <f>SUMIFS(Table4[[Sales]:[Sales]], Table4[[City]:[City]], Analysis!$A19, Table4[[Product]:[Product]], Analysis!G$13)</f>
        <v>992000</v>
      </c>
      <c r="H19" s="28">
        <f>SUMIFS(Table4[[Sales]:[Sales]], Table4[[City]:[City]], Analysis!$A19, Table4[[Product]:[Product]], Analysis!H$13)</f>
        <v>267400</v>
      </c>
      <c r="I19" s="10">
        <f>SUMIFS(Table4[[Sales]:[Sales]], Table4[[City]:[City]], Analysis!$A19, Table4[[Product]:[Product]], Analysis!I$13)</f>
        <v>1291500</v>
      </c>
      <c r="J19" s="10">
        <f t="shared" si="0"/>
        <v>1291500</v>
      </c>
      <c r="K19" s="10">
        <f t="shared" si="1"/>
        <v>8</v>
      </c>
      <c r="L19" s="10" t="str">
        <f t="shared" si="2"/>
        <v>Tablet</v>
      </c>
    </row>
    <row r="20" spans="1:13" x14ac:dyDescent="0.25">
      <c r="A20" s="26" t="s">
        <v>377</v>
      </c>
      <c r="B20" s="10">
        <f>SUMIFS(Table4[[Sales]:[Sales]], Table4[[City]:[City]], Analysis!$A20, Table4[[Product]:[Product]], Analysis!B$13)</f>
        <v>116250</v>
      </c>
      <c r="C20" s="10">
        <f>SUMIFS(Table4[[Sales]:[Sales]], Table4[[City]:[City]], Analysis!$A20, Table4[[Product]:[Product]], Analysis!C$13)</f>
        <v>79300</v>
      </c>
      <c r="D20" s="10">
        <f>SUMIFS(Table4[[Sales]:[Sales]], Table4[[City]:[City]], Analysis!$A20, Table4[[Product]:[Product]], Analysis!D$13)</f>
        <v>40200</v>
      </c>
      <c r="E20" s="10">
        <f>SUMIFS(Table4[[Sales]:[Sales]], Table4[[City]:[City]], Analysis!$A20, Table4[[Product]:[Product]], Analysis!E$13)</f>
        <v>2742500</v>
      </c>
      <c r="F20" s="10">
        <f>SUMIFS(Table4[[Sales]:[Sales]], Table4[[City]:[City]], Analysis!$A20, Table4[[Product]:[Product]], Analysis!F$13)</f>
        <v>554400</v>
      </c>
      <c r="G20" s="10">
        <f>SUMIFS(Table4[[Sales]:[Sales]], Table4[[City]:[City]], Analysis!$A20, Table4[[Product]:[Product]], Analysis!G$13)</f>
        <v>951000</v>
      </c>
      <c r="H20" s="28">
        <f>SUMIFS(Table4[[Sales]:[Sales]], Table4[[City]:[City]], Analysis!$A20, Table4[[Product]:[Product]], Analysis!H$13)</f>
        <v>274050</v>
      </c>
      <c r="I20" s="10">
        <f>SUMIFS(Table4[[Sales]:[Sales]], Table4[[City]:[City]], Analysis!$A20, Table4[[Product]:[Product]], Analysis!I$13)</f>
        <v>1315500</v>
      </c>
      <c r="J20" s="10">
        <f t="shared" si="0"/>
        <v>2742500</v>
      </c>
      <c r="K20" s="10">
        <f t="shared" si="1"/>
        <v>4</v>
      </c>
      <c r="L20" s="10" t="str">
        <f t="shared" si="2"/>
        <v>Laptop</v>
      </c>
    </row>
    <row r="21" spans="1:13" x14ac:dyDescent="0.25">
      <c r="A21" s="26" t="s">
        <v>376</v>
      </c>
      <c r="B21" s="10">
        <f>SUMIFS(Table4[[Sales]:[Sales]], Table4[[City]:[City]], Analysis!$A21, Table4[[Product]:[Product]], Analysis!B$13)</f>
        <v>113700</v>
      </c>
      <c r="C21" s="10">
        <f>SUMIFS(Table4[[Sales]:[Sales]], Table4[[City]:[City]], Analysis!$A21, Table4[[Product]:[Product]], Analysis!C$13)</f>
        <v>104000</v>
      </c>
      <c r="D21" s="10">
        <f>SUMIFS(Table4[[Sales]:[Sales]], Table4[[City]:[City]], Analysis!$A21, Table4[[Product]:[Product]], Analysis!D$13)</f>
        <v>65400</v>
      </c>
      <c r="E21" s="10">
        <f>SUMIFS(Table4[[Sales]:[Sales]], Table4[[City]:[City]], Analysis!$A21, Table4[[Product]:[Product]], Analysis!E$13)</f>
        <v>1747500</v>
      </c>
      <c r="F21" s="10">
        <f>SUMIFS(Table4[[Sales]:[Sales]], Table4[[City]:[City]], Analysis!$A21, Table4[[Product]:[Product]], Analysis!F$13)</f>
        <v>153600</v>
      </c>
      <c r="G21" s="10">
        <f>SUMIFS(Table4[[Sales]:[Sales]], Table4[[City]:[City]], Analysis!$A21, Table4[[Product]:[Product]], Analysis!G$13)</f>
        <v>1057000</v>
      </c>
      <c r="H21" s="28">
        <f>SUMIFS(Table4[[Sales]:[Sales]], Table4[[City]:[City]], Analysis!$A21, Table4[[Product]:[Product]], Analysis!H$13)</f>
        <v>304150</v>
      </c>
      <c r="I21" s="10">
        <f>SUMIFS(Table4[[Sales]:[Sales]], Table4[[City]:[City]], Analysis!$A21, Table4[[Product]:[Product]], Analysis!I$13)</f>
        <v>1032000</v>
      </c>
      <c r="J21" s="29">
        <f t="shared" si="0"/>
        <v>1747500</v>
      </c>
      <c r="K21" s="29">
        <f t="shared" si="1"/>
        <v>4</v>
      </c>
      <c r="L21" s="29" t="str">
        <f t="shared" si="2"/>
        <v>Laptop</v>
      </c>
    </row>
    <row r="22" spans="1:13" x14ac:dyDescent="0.25">
      <c r="J22" s="30">
        <f>MAX(J14:J21)</f>
        <v>2742500</v>
      </c>
      <c r="K22" s="30">
        <f>MATCH(J22, J14:J21, 0)</f>
        <v>7</v>
      </c>
      <c r="L22" s="30" t="str">
        <f>INDEX(A14:A21, K22, 0)</f>
        <v>Mumbai</v>
      </c>
      <c r="M22" s="10" t="str">
        <f>INDEX(L14:L21, K22, 1)</f>
        <v>Laptop</v>
      </c>
    </row>
  </sheetData>
  <sortState ref="N2:O13">
    <sortCondition descending="1" ref="O2"/>
  </sortState>
  <mergeCells count="3">
    <mergeCell ref="A1:B1"/>
    <mergeCell ref="A2:B2"/>
    <mergeCell ref="J13:L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L85"/>
  <sheetViews>
    <sheetView topLeftCell="D66" workbookViewId="0">
      <selection activeCell="K19" sqref="K19"/>
    </sheetView>
  </sheetViews>
  <sheetFormatPr defaultRowHeight="15" x14ac:dyDescent="0.25"/>
  <cols>
    <col min="1" max="1" width="13.140625" customWidth="1"/>
    <col min="2" max="2" width="16.28515625" customWidth="1"/>
    <col min="3" max="4" width="11.28515625" bestFit="1" customWidth="1"/>
    <col min="5" max="5" width="13.140625" bestFit="1" customWidth="1"/>
    <col min="6" max="6" width="12.140625" bestFit="1" customWidth="1"/>
    <col min="7" max="7" width="11.28515625" bestFit="1" customWidth="1"/>
    <col min="8" max="8" width="13.140625" bestFit="1" customWidth="1"/>
    <col min="9" max="9" width="12.140625" bestFit="1" customWidth="1"/>
    <col min="10" max="10" width="11.28515625" customWidth="1"/>
    <col min="11" max="11" width="13.140625" bestFit="1" customWidth="1"/>
    <col min="12" max="12" width="15.42578125" bestFit="1" customWidth="1"/>
  </cols>
  <sheetData>
    <row r="3" spans="1:9" x14ac:dyDescent="0.25">
      <c r="A3" s="5" t="s">
        <v>395</v>
      </c>
      <c r="B3" t="s">
        <v>397</v>
      </c>
      <c r="E3" s="5" t="s">
        <v>395</v>
      </c>
      <c r="F3" t="s">
        <v>397</v>
      </c>
      <c r="H3" s="5" t="s">
        <v>395</v>
      </c>
      <c r="I3" t="s">
        <v>397</v>
      </c>
    </row>
    <row r="4" spans="1:9" x14ac:dyDescent="0.25">
      <c r="A4" s="6" t="s">
        <v>389</v>
      </c>
      <c r="B4" s="7">
        <v>40606300</v>
      </c>
      <c r="E4" s="6" t="s">
        <v>374</v>
      </c>
      <c r="F4" s="7">
        <v>4563100</v>
      </c>
      <c r="H4" s="6" t="s">
        <v>382</v>
      </c>
      <c r="I4" s="7">
        <v>17447500</v>
      </c>
    </row>
    <row r="5" spans="1:9" x14ac:dyDescent="0.25">
      <c r="A5" s="6" t="s">
        <v>391</v>
      </c>
      <c r="B5" s="7">
        <v>3117100</v>
      </c>
      <c r="E5" s="6" t="s">
        <v>376</v>
      </c>
      <c r="F5" s="7">
        <v>4577350</v>
      </c>
      <c r="H5" s="6" t="s">
        <v>388</v>
      </c>
      <c r="I5" s="7">
        <v>4081800</v>
      </c>
    </row>
    <row r="6" spans="1:9" x14ac:dyDescent="0.25">
      <c r="A6" s="6" t="s">
        <v>390</v>
      </c>
      <c r="B6" s="7">
        <v>1229575</v>
      </c>
      <c r="E6" s="6" t="s">
        <v>375</v>
      </c>
      <c r="F6" s="7">
        <v>4591925</v>
      </c>
      <c r="H6" s="6" t="s">
        <v>381</v>
      </c>
      <c r="I6" s="7">
        <v>7932000</v>
      </c>
    </row>
    <row r="7" spans="1:9" x14ac:dyDescent="0.25">
      <c r="A7" s="6" t="s">
        <v>396</v>
      </c>
      <c r="B7" s="7">
        <v>44952975</v>
      </c>
      <c r="E7" s="6" t="s">
        <v>377</v>
      </c>
      <c r="F7" s="7">
        <v>6073200</v>
      </c>
      <c r="H7" s="6" t="s">
        <v>386</v>
      </c>
      <c r="I7" s="7">
        <v>2129050</v>
      </c>
    </row>
    <row r="8" spans="1:9" x14ac:dyDescent="0.25">
      <c r="E8" s="6" t="s">
        <v>378</v>
      </c>
      <c r="F8" s="7">
        <v>6085325</v>
      </c>
      <c r="H8" s="6" t="s">
        <v>384</v>
      </c>
      <c r="I8" s="7">
        <v>11145000</v>
      </c>
    </row>
    <row r="9" spans="1:9" x14ac:dyDescent="0.25">
      <c r="E9" s="6" t="s">
        <v>380</v>
      </c>
      <c r="F9" s="7">
        <v>6270225</v>
      </c>
      <c r="H9" s="6" t="s">
        <v>396</v>
      </c>
      <c r="I9" s="7">
        <v>42735350</v>
      </c>
    </row>
    <row r="10" spans="1:9" x14ac:dyDescent="0.25">
      <c r="E10" s="6" t="s">
        <v>379</v>
      </c>
      <c r="F10" s="7">
        <v>6282050</v>
      </c>
    </row>
    <row r="11" spans="1:9" x14ac:dyDescent="0.25">
      <c r="E11" s="6" t="s">
        <v>373</v>
      </c>
      <c r="F11" s="7">
        <v>6509800</v>
      </c>
    </row>
    <row r="12" spans="1:9" x14ac:dyDescent="0.25">
      <c r="E12" s="6" t="s">
        <v>396</v>
      </c>
      <c r="F12" s="7">
        <v>44952975</v>
      </c>
    </row>
    <row r="13" spans="1:9" x14ac:dyDescent="0.25">
      <c r="A13" s="5" t="s">
        <v>395</v>
      </c>
      <c r="B13" t="s">
        <v>405</v>
      </c>
    </row>
    <row r="14" spans="1:9" x14ac:dyDescent="0.25">
      <c r="A14" s="6" t="s">
        <v>389</v>
      </c>
      <c r="B14" s="7">
        <v>1579</v>
      </c>
    </row>
    <row r="15" spans="1:9" x14ac:dyDescent="0.25">
      <c r="A15" s="6" t="s">
        <v>390</v>
      </c>
      <c r="B15" s="7">
        <v>769</v>
      </c>
    </row>
    <row r="16" spans="1:9" x14ac:dyDescent="0.25">
      <c r="A16" s="6" t="s">
        <v>391</v>
      </c>
      <c r="B16" s="7">
        <v>686</v>
      </c>
    </row>
    <row r="17" spans="1:9" x14ac:dyDescent="0.25">
      <c r="A17" s="6" t="s">
        <v>396</v>
      </c>
      <c r="B17" s="7">
        <v>3034</v>
      </c>
      <c r="E17" s="5" t="s">
        <v>395</v>
      </c>
      <c r="F17" t="s">
        <v>400</v>
      </c>
      <c r="H17" s="5" t="s">
        <v>395</v>
      </c>
      <c r="I17" t="s">
        <v>397</v>
      </c>
    </row>
    <row r="18" spans="1:9" x14ac:dyDescent="0.25">
      <c r="E18" s="6" t="s">
        <v>389</v>
      </c>
      <c r="F18" s="4">
        <v>79154.580896686166</v>
      </c>
      <c r="H18" s="6" t="s">
        <v>389</v>
      </c>
      <c r="I18" s="9">
        <v>0.9033061771773726</v>
      </c>
    </row>
    <row r="19" spans="1:9" x14ac:dyDescent="0.25">
      <c r="C19" s="5"/>
      <c r="D19" s="5"/>
      <c r="E19" s="32" t="s">
        <v>391</v>
      </c>
      <c r="F19" s="33">
        <v>13435.775862068966</v>
      </c>
      <c r="G19" s="5"/>
      <c r="H19" s="32" t="s">
        <v>391</v>
      </c>
      <c r="I19" s="34">
        <v>6.9341350600266166E-2</v>
      </c>
    </row>
    <row r="20" spans="1:9" x14ac:dyDescent="0.25">
      <c r="D20" s="5"/>
      <c r="E20" s="32" t="s">
        <v>390</v>
      </c>
      <c r="F20" s="33">
        <v>4821.8627450980393</v>
      </c>
      <c r="G20" s="5"/>
      <c r="H20" s="32" t="s">
        <v>390</v>
      </c>
      <c r="I20" s="34">
        <v>2.7352472222361257E-2</v>
      </c>
    </row>
    <row r="21" spans="1:9" x14ac:dyDescent="0.25">
      <c r="E21" s="6" t="s">
        <v>396</v>
      </c>
      <c r="F21" s="4">
        <v>44952.974999999999</v>
      </c>
      <c r="H21" s="6" t="s">
        <v>396</v>
      </c>
      <c r="I21" s="9">
        <v>1</v>
      </c>
    </row>
    <row r="25" spans="1:9" x14ac:dyDescent="0.25">
      <c r="E25" s="5" t="s">
        <v>5</v>
      </c>
      <c r="F25" t="s">
        <v>389</v>
      </c>
      <c r="H25" s="5" t="s">
        <v>395</v>
      </c>
      <c r="I25" t="s">
        <v>397</v>
      </c>
    </row>
    <row r="26" spans="1:9" x14ac:dyDescent="0.25">
      <c r="H26" s="6" t="s">
        <v>370</v>
      </c>
      <c r="I26" s="7">
        <v>3896950</v>
      </c>
    </row>
    <row r="27" spans="1:9" x14ac:dyDescent="0.25">
      <c r="E27" s="5" t="s">
        <v>395</v>
      </c>
      <c r="F27" t="s">
        <v>397</v>
      </c>
      <c r="H27" s="6" t="s">
        <v>371</v>
      </c>
      <c r="I27" s="7">
        <v>3557025</v>
      </c>
    </row>
    <row r="28" spans="1:9" x14ac:dyDescent="0.25">
      <c r="B28" s="6"/>
      <c r="E28" s="6" t="s">
        <v>373</v>
      </c>
      <c r="F28" s="7">
        <v>5902400</v>
      </c>
      <c r="H28" s="6" t="s">
        <v>364</v>
      </c>
      <c r="I28" s="7">
        <v>3471950</v>
      </c>
    </row>
    <row r="29" spans="1:9" x14ac:dyDescent="0.25">
      <c r="B29" s="6"/>
      <c r="E29" s="6" t="s">
        <v>379</v>
      </c>
      <c r="F29" s="7">
        <v>5756800</v>
      </c>
      <c r="H29" s="6" t="s">
        <v>358</v>
      </c>
      <c r="I29" s="7">
        <v>3392350</v>
      </c>
    </row>
    <row r="30" spans="1:9" x14ac:dyDescent="0.25">
      <c r="B30" s="6"/>
      <c r="E30" s="6" t="s">
        <v>378</v>
      </c>
      <c r="F30" s="7">
        <v>5694500</v>
      </c>
      <c r="H30" s="6" t="s">
        <v>365</v>
      </c>
      <c r="I30" s="7">
        <v>3237375</v>
      </c>
    </row>
    <row r="31" spans="1:9" x14ac:dyDescent="0.25">
      <c r="B31" s="6"/>
      <c r="E31" s="6" t="s">
        <v>377</v>
      </c>
      <c r="F31" s="7">
        <v>5563400</v>
      </c>
      <c r="H31" s="6" t="s">
        <v>362</v>
      </c>
      <c r="I31" s="7">
        <v>3195650</v>
      </c>
    </row>
    <row r="32" spans="1:9" x14ac:dyDescent="0.25">
      <c r="B32" s="6"/>
      <c r="E32" s="6" t="s">
        <v>380</v>
      </c>
      <c r="F32" s="7">
        <v>5494200</v>
      </c>
      <c r="H32" s="6" t="s">
        <v>363</v>
      </c>
      <c r="I32" s="7">
        <v>3030200</v>
      </c>
    </row>
    <row r="33" spans="1:12" x14ac:dyDescent="0.25">
      <c r="B33" s="6"/>
      <c r="E33" s="6" t="s">
        <v>374</v>
      </c>
      <c r="F33" s="7">
        <v>4118400</v>
      </c>
      <c r="H33" s="6" t="s">
        <v>361</v>
      </c>
      <c r="I33" s="7">
        <v>2746525</v>
      </c>
    </row>
    <row r="34" spans="1:12" x14ac:dyDescent="0.25">
      <c r="B34" s="6"/>
      <c r="E34" s="6" t="s">
        <v>375</v>
      </c>
      <c r="F34" s="7">
        <v>4086500</v>
      </c>
      <c r="H34" s="6" t="s">
        <v>367</v>
      </c>
      <c r="I34" s="7">
        <v>2686075</v>
      </c>
    </row>
    <row r="35" spans="1:12" x14ac:dyDescent="0.25">
      <c r="B35" s="6"/>
      <c r="E35" s="6" t="s">
        <v>376</v>
      </c>
      <c r="F35" s="7">
        <v>3990100</v>
      </c>
      <c r="H35" s="6" t="s">
        <v>372</v>
      </c>
      <c r="I35" s="7">
        <v>2598200</v>
      </c>
    </row>
    <row r="36" spans="1:12" x14ac:dyDescent="0.25">
      <c r="B36" s="6"/>
      <c r="E36" s="6" t="s">
        <v>396</v>
      </c>
      <c r="F36" s="7">
        <v>40606300</v>
      </c>
      <c r="H36" s="6" t="s">
        <v>357</v>
      </c>
      <c r="I36" s="7">
        <v>2409400</v>
      </c>
    </row>
    <row r="37" spans="1:12" x14ac:dyDescent="0.25">
      <c r="H37" s="6" t="s">
        <v>368</v>
      </c>
      <c r="I37" s="7">
        <v>2316525</v>
      </c>
    </row>
    <row r="38" spans="1:12" x14ac:dyDescent="0.25">
      <c r="H38" s="6" t="s">
        <v>359</v>
      </c>
      <c r="I38" s="7">
        <v>2232750</v>
      </c>
    </row>
    <row r="39" spans="1:12" x14ac:dyDescent="0.25">
      <c r="H39" s="6" t="s">
        <v>369</v>
      </c>
      <c r="I39" s="7">
        <v>2189775</v>
      </c>
    </row>
    <row r="40" spans="1:12" x14ac:dyDescent="0.25">
      <c r="H40" s="6" t="s">
        <v>360</v>
      </c>
      <c r="I40" s="7">
        <v>2153400</v>
      </c>
    </row>
    <row r="41" spans="1:12" x14ac:dyDescent="0.25">
      <c r="H41" s="6" t="s">
        <v>366</v>
      </c>
      <c r="I41" s="7">
        <v>1838825</v>
      </c>
    </row>
    <row r="42" spans="1:12" x14ac:dyDescent="0.25">
      <c r="D42" s="5" t="s">
        <v>5</v>
      </c>
      <c r="E42" t="s">
        <v>389</v>
      </c>
      <c r="H42" s="6" t="s">
        <v>396</v>
      </c>
      <c r="I42" s="7">
        <v>44952975</v>
      </c>
    </row>
    <row r="44" spans="1:12" x14ac:dyDescent="0.25">
      <c r="A44" s="5" t="s">
        <v>395</v>
      </c>
      <c r="B44" t="s">
        <v>397</v>
      </c>
      <c r="D44" s="5" t="s">
        <v>395</v>
      </c>
      <c r="E44" t="s">
        <v>397</v>
      </c>
    </row>
    <row r="45" spans="1:12" x14ac:dyDescent="0.25">
      <c r="A45" s="6" t="s">
        <v>382</v>
      </c>
      <c r="B45" s="4">
        <v>17447500</v>
      </c>
      <c r="D45" s="6" t="s">
        <v>420</v>
      </c>
      <c r="E45" s="7">
        <v>4306400</v>
      </c>
      <c r="G45" s="5" t="s">
        <v>395</v>
      </c>
      <c r="H45" t="s">
        <v>397</v>
      </c>
      <c r="K45" s="5" t="s">
        <v>421</v>
      </c>
    </row>
    <row r="46" spans="1:12" x14ac:dyDescent="0.25">
      <c r="A46" s="6" t="s">
        <v>384</v>
      </c>
      <c r="B46" s="4">
        <v>11145000</v>
      </c>
      <c r="D46" s="6" t="s">
        <v>412</v>
      </c>
      <c r="E46" s="7">
        <v>3955800</v>
      </c>
      <c r="G46" s="6" t="s">
        <v>373</v>
      </c>
      <c r="H46" s="9">
        <v>0.144813552384464</v>
      </c>
      <c r="J46" s="5" t="s">
        <v>395</v>
      </c>
      <c r="K46" t="s">
        <v>397</v>
      </c>
      <c r="L46" t="s">
        <v>405</v>
      </c>
    </row>
    <row r="47" spans="1:12" x14ac:dyDescent="0.25">
      <c r="A47" s="6" t="s">
        <v>381</v>
      </c>
      <c r="B47" s="4">
        <v>7932000</v>
      </c>
      <c r="D47" s="6" t="s">
        <v>411</v>
      </c>
      <c r="E47" s="7">
        <v>3886500</v>
      </c>
      <c r="G47" s="6" t="s">
        <v>378</v>
      </c>
      <c r="H47" s="9">
        <v>0.13537090704230365</v>
      </c>
      <c r="J47" s="6" t="s">
        <v>390</v>
      </c>
      <c r="K47" s="4">
        <v>1229575</v>
      </c>
      <c r="L47" s="4">
        <v>769</v>
      </c>
    </row>
    <row r="48" spans="1:12" x14ac:dyDescent="0.25">
      <c r="A48" s="6" t="s">
        <v>388</v>
      </c>
      <c r="B48" s="4">
        <v>4081800</v>
      </c>
      <c r="D48" s="6" t="s">
        <v>414</v>
      </c>
      <c r="E48" s="7">
        <v>3665500</v>
      </c>
      <c r="G48" s="6" t="s">
        <v>374</v>
      </c>
      <c r="H48" s="9">
        <v>0.101508298394044</v>
      </c>
      <c r="J48" s="6" t="s">
        <v>391</v>
      </c>
      <c r="K48" s="4">
        <v>3117100</v>
      </c>
      <c r="L48" s="4">
        <v>686</v>
      </c>
    </row>
    <row r="49" spans="1:12" x14ac:dyDescent="0.25">
      <c r="A49" s="6" t="s">
        <v>386</v>
      </c>
      <c r="B49" s="4">
        <v>2129050</v>
      </c>
      <c r="D49" s="6" t="s">
        <v>419</v>
      </c>
      <c r="E49" s="7">
        <v>3504300</v>
      </c>
      <c r="G49" s="6" t="s">
        <v>380</v>
      </c>
      <c r="H49" s="9">
        <v>0.13948409421178465</v>
      </c>
      <c r="J49" s="6" t="s">
        <v>389</v>
      </c>
      <c r="K49" s="4">
        <v>40606300</v>
      </c>
      <c r="L49" s="4">
        <v>1579</v>
      </c>
    </row>
    <row r="50" spans="1:12" x14ac:dyDescent="0.25">
      <c r="A50" s="6" t="s">
        <v>387</v>
      </c>
      <c r="B50" s="4">
        <v>988050</v>
      </c>
      <c r="D50" s="6" t="s">
        <v>409</v>
      </c>
      <c r="E50" s="7">
        <v>3373300</v>
      </c>
      <c r="G50" s="6" t="s">
        <v>379</v>
      </c>
      <c r="H50" s="9">
        <v>0.1397471468796003</v>
      </c>
      <c r="J50" s="6" t="s">
        <v>396</v>
      </c>
      <c r="K50" s="4">
        <v>44952975</v>
      </c>
      <c r="L50" s="4">
        <v>3034</v>
      </c>
    </row>
    <row r="51" spans="1:12" x14ac:dyDescent="0.25">
      <c r="A51" s="6" t="s">
        <v>385</v>
      </c>
      <c r="B51" s="4">
        <v>660100</v>
      </c>
      <c r="D51" s="6" t="s">
        <v>416</v>
      </c>
      <c r="E51" s="7">
        <v>3327500</v>
      </c>
      <c r="G51" s="6" t="s">
        <v>375</v>
      </c>
      <c r="H51" s="9">
        <v>0.10214952403038953</v>
      </c>
    </row>
    <row r="52" spans="1:12" x14ac:dyDescent="0.25">
      <c r="A52" s="6" t="s">
        <v>383</v>
      </c>
      <c r="B52" s="4">
        <v>569475</v>
      </c>
      <c r="D52" s="6" t="s">
        <v>413</v>
      </c>
      <c r="E52" s="7">
        <v>3312700</v>
      </c>
      <c r="G52" s="6" t="s">
        <v>377</v>
      </c>
      <c r="H52" s="9">
        <v>0.1351011807338669</v>
      </c>
    </row>
    <row r="53" spans="1:12" x14ac:dyDescent="0.25">
      <c r="A53" s="6" t="s">
        <v>396</v>
      </c>
      <c r="B53" s="4">
        <v>44952975</v>
      </c>
      <c r="D53" s="6" t="s">
        <v>417</v>
      </c>
      <c r="E53" s="7">
        <v>3305700</v>
      </c>
      <c r="G53" s="6" t="s">
        <v>376</v>
      </c>
      <c r="H53" s="9">
        <v>0.10182529632354699</v>
      </c>
    </row>
    <row r="54" spans="1:12" x14ac:dyDescent="0.25">
      <c r="D54" s="6" t="s">
        <v>415</v>
      </c>
      <c r="E54" s="7">
        <v>2993900</v>
      </c>
      <c r="G54" s="6" t="s">
        <v>396</v>
      </c>
      <c r="H54" s="9">
        <v>1</v>
      </c>
    </row>
    <row r="55" spans="1:12" x14ac:dyDescent="0.25">
      <c r="D55" s="6" t="s">
        <v>418</v>
      </c>
      <c r="E55" s="7">
        <v>2658000</v>
      </c>
    </row>
    <row r="56" spans="1:12" x14ac:dyDescent="0.25">
      <c r="D56" s="6" t="s">
        <v>410</v>
      </c>
      <c r="E56" s="7">
        <v>2316700</v>
      </c>
    </row>
    <row r="57" spans="1:12" x14ac:dyDescent="0.25">
      <c r="D57" s="6" t="s">
        <v>396</v>
      </c>
      <c r="E57" s="7">
        <v>40606300</v>
      </c>
    </row>
    <row r="60" spans="1:12" x14ac:dyDescent="0.25">
      <c r="A60" s="5" t="s">
        <v>397</v>
      </c>
      <c r="B60" s="5" t="s">
        <v>422</v>
      </c>
    </row>
    <row r="61" spans="1:12" x14ac:dyDescent="0.25">
      <c r="A61" s="5" t="s">
        <v>395</v>
      </c>
      <c r="B61" t="s">
        <v>387</v>
      </c>
      <c r="C61" t="s">
        <v>385</v>
      </c>
      <c r="D61" t="s">
        <v>383</v>
      </c>
      <c r="E61" t="s">
        <v>382</v>
      </c>
      <c r="F61" t="s">
        <v>388</v>
      </c>
      <c r="G61" t="s">
        <v>381</v>
      </c>
      <c r="H61" t="s">
        <v>386</v>
      </c>
      <c r="I61" t="s">
        <v>384</v>
      </c>
      <c r="J61" t="s">
        <v>396</v>
      </c>
    </row>
    <row r="62" spans="1:12" x14ac:dyDescent="0.25">
      <c r="A62" s="6" t="s">
        <v>373</v>
      </c>
      <c r="B62" s="4">
        <v>163950</v>
      </c>
      <c r="C62" s="4">
        <v>95500</v>
      </c>
      <c r="D62" s="4">
        <v>52200</v>
      </c>
      <c r="E62" s="4">
        <v>2640000</v>
      </c>
      <c r="F62" s="4">
        <v>659400</v>
      </c>
      <c r="G62" s="4">
        <v>1055000</v>
      </c>
      <c r="H62" s="4">
        <v>295750</v>
      </c>
      <c r="I62" s="4">
        <v>1548000</v>
      </c>
      <c r="J62" s="4">
        <v>6509800</v>
      </c>
    </row>
    <row r="63" spans="1:12" x14ac:dyDescent="0.25">
      <c r="A63" s="6" t="s">
        <v>378</v>
      </c>
      <c r="B63" s="4">
        <v>88650</v>
      </c>
      <c r="C63" s="4">
        <v>57700</v>
      </c>
      <c r="D63" s="4">
        <v>76125</v>
      </c>
      <c r="E63" s="4">
        <v>2347500</v>
      </c>
      <c r="F63" s="4">
        <v>318000</v>
      </c>
      <c r="G63" s="4">
        <v>1262000</v>
      </c>
      <c r="H63" s="4">
        <v>168350</v>
      </c>
      <c r="I63" s="4">
        <v>1767000</v>
      </c>
      <c r="J63" s="4">
        <v>6085325</v>
      </c>
    </row>
    <row r="64" spans="1:12" x14ac:dyDescent="0.25">
      <c r="A64" s="6" t="s">
        <v>374</v>
      </c>
      <c r="B64" s="4">
        <v>140400</v>
      </c>
      <c r="C64" s="4">
        <v>67800</v>
      </c>
      <c r="D64" s="4">
        <v>61500</v>
      </c>
      <c r="E64" s="4">
        <v>1920000</v>
      </c>
      <c r="F64" s="4">
        <v>305400</v>
      </c>
      <c r="G64" s="4">
        <v>897000</v>
      </c>
      <c r="H64" s="4">
        <v>175000</v>
      </c>
      <c r="I64" s="4">
        <v>996000</v>
      </c>
      <c r="J64" s="4">
        <v>4563100</v>
      </c>
    </row>
    <row r="65" spans="1:12" x14ac:dyDescent="0.25">
      <c r="A65" s="6" t="s">
        <v>380</v>
      </c>
      <c r="B65" s="4">
        <v>166650</v>
      </c>
      <c r="C65" s="4">
        <v>111000</v>
      </c>
      <c r="D65" s="4">
        <v>127725</v>
      </c>
      <c r="E65" s="4">
        <v>2692500</v>
      </c>
      <c r="F65" s="4">
        <v>460200</v>
      </c>
      <c r="G65" s="4">
        <v>888000</v>
      </c>
      <c r="H65" s="4">
        <v>370650</v>
      </c>
      <c r="I65" s="4">
        <v>1453500</v>
      </c>
      <c r="J65" s="4">
        <v>6270225</v>
      </c>
    </row>
    <row r="66" spans="1:12" x14ac:dyDescent="0.25">
      <c r="A66" s="6" t="s">
        <v>379</v>
      </c>
      <c r="B66" s="4">
        <v>105600</v>
      </c>
      <c r="C66" s="4">
        <v>81900</v>
      </c>
      <c r="D66" s="4">
        <v>64050</v>
      </c>
      <c r="E66" s="4">
        <v>2442500</v>
      </c>
      <c r="F66" s="4">
        <v>742800</v>
      </c>
      <c r="G66" s="4">
        <v>830000</v>
      </c>
      <c r="H66" s="4">
        <v>273700</v>
      </c>
      <c r="I66" s="4">
        <v>1741500</v>
      </c>
      <c r="J66" s="4">
        <v>6282050</v>
      </c>
    </row>
    <row r="67" spans="1:12" x14ac:dyDescent="0.25">
      <c r="A67" s="6" t="s">
        <v>375</v>
      </c>
      <c r="B67" s="4">
        <v>92850</v>
      </c>
      <c r="C67" s="4">
        <v>62900</v>
      </c>
      <c r="D67" s="4">
        <v>82275</v>
      </c>
      <c r="E67" s="4">
        <v>915000</v>
      </c>
      <c r="F67" s="4">
        <v>888000</v>
      </c>
      <c r="G67" s="4">
        <v>992000</v>
      </c>
      <c r="H67" s="4">
        <v>267400</v>
      </c>
      <c r="I67" s="4">
        <v>1291500</v>
      </c>
      <c r="J67" s="4">
        <v>4591925</v>
      </c>
    </row>
    <row r="68" spans="1:12" x14ac:dyDescent="0.25">
      <c r="A68" s="6" t="s">
        <v>377</v>
      </c>
      <c r="B68" s="4">
        <v>116250</v>
      </c>
      <c r="C68" s="4">
        <v>79300</v>
      </c>
      <c r="D68" s="4">
        <v>40200</v>
      </c>
      <c r="E68" s="4">
        <v>2742500</v>
      </c>
      <c r="F68" s="4">
        <v>554400</v>
      </c>
      <c r="G68" s="4">
        <v>951000</v>
      </c>
      <c r="H68" s="4">
        <v>274050</v>
      </c>
      <c r="I68" s="4">
        <v>1315500</v>
      </c>
      <c r="J68" s="4">
        <v>6073200</v>
      </c>
    </row>
    <row r="69" spans="1:12" x14ac:dyDescent="0.25">
      <c r="A69" s="6" t="s">
        <v>376</v>
      </c>
      <c r="B69" s="4">
        <v>113700</v>
      </c>
      <c r="C69" s="4">
        <v>104000</v>
      </c>
      <c r="D69" s="4">
        <v>65400</v>
      </c>
      <c r="E69" s="4">
        <v>1747500</v>
      </c>
      <c r="F69" s="4">
        <v>153600</v>
      </c>
      <c r="G69" s="4">
        <v>1057000</v>
      </c>
      <c r="H69" s="4">
        <v>304150</v>
      </c>
      <c r="I69" s="4">
        <v>1032000</v>
      </c>
      <c r="J69" s="4">
        <v>4577350</v>
      </c>
    </row>
    <row r="70" spans="1:12" x14ac:dyDescent="0.25">
      <c r="A70" s="6" t="s">
        <v>396</v>
      </c>
      <c r="B70" s="4">
        <v>988050</v>
      </c>
      <c r="C70" s="4">
        <v>660100</v>
      </c>
      <c r="D70" s="4">
        <v>569475</v>
      </c>
      <c r="E70" s="4">
        <v>17447500</v>
      </c>
      <c r="F70" s="4">
        <v>4081800</v>
      </c>
      <c r="G70" s="4">
        <v>7932000</v>
      </c>
      <c r="H70" s="4">
        <v>2129050</v>
      </c>
      <c r="I70" s="4">
        <v>11145000</v>
      </c>
      <c r="J70" s="4">
        <v>44952975</v>
      </c>
    </row>
    <row r="72" spans="1:12" x14ac:dyDescent="0.25">
      <c r="A72" s="5" t="s">
        <v>397</v>
      </c>
      <c r="B72" s="5" t="s">
        <v>422</v>
      </c>
      <c r="E72" s="5" t="s">
        <v>395</v>
      </c>
      <c r="F72" t="s">
        <v>397</v>
      </c>
      <c r="H72" s="5" t="s">
        <v>395</v>
      </c>
      <c r="I72" t="s">
        <v>397</v>
      </c>
      <c r="J72" s="5"/>
      <c r="K72" s="5" t="s">
        <v>395</v>
      </c>
      <c r="L72" t="s">
        <v>397</v>
      </c>
    </row>
    <row r="73" spans="1:12" x14ac:dyDescent="0.25">
      <c r="A73" s="5" t="s">
        <v>395</v>
      </c>
      <c r="B73" t="s">
        <v>382</v>
      </c>
      <c r="C73" t="s">
        <v>396</v>
      </c>
      <c r="E73" s="6" t="s">
        <v>410</v>
      </c>
      <c r="F73" s="7">
        <v>2721100</v>
      </c>
      <c r="H73" s="6" t="s">
        <v>409</v>
      </c>
      <c r="I73" s="9"/>
      <c r="K73" s="6" t="s">
        <v>373</v>
      </c>
      <c r="L73" s="7">
        <v>6509800</v>
      </c>
    </row>
    <row r="74" spans="1:12" x14ac:dyDescent="0.25">
      <c r="A74" s="6" t="s">
        <v>377</v>
      </c>
      <c r="B74" s="4">
        <v>2742500</v>
      </c>
      <c r="C74" s="4">
        <v>2742500</v>
      </c>
      <c r="E74" s="6" t="s">
        <v>418</v>
      </c>
      <c r="F74" s="7">
        <v>3021825</v>
      </c>
      <c r="H74" s="6" t="s">
        <v>410</v>
      </c>
      <c r="I74" s="9">
        <v>-0.26627298711103919</v>
      </c>
      <c r="K74" s="6" t="s">
        <v>379</v>
      </c>
      <c r="L74" s="7">
        <v>6282050</v>
      </c>
    </row>
    <row r="75" spans="1:12" x14ac:dyDescent="0.25">
      <c r="A75" s="6" t="s">
        <v>396</v>
      </c>
      <c r="B75" s="4">
        <v>2742500</v>
      </c>
      <c r="C75" s="4">
        <v>2742500</v>
      </c>
      <c r="E75" s="6" t="s">
        <v>415</v>
      </c>
      <c r="F75" s="7">
        <v>3421650</v>
      </c>
      <c r="H75" s="6" t="s">
        <v>411</v>
      </c>
      <c r="I75" s="9">
        <v>0.58666531917239351</v>
      </c>
      <c r="K75" s="6" t="s">
        <v>380</v>
      </c>
      <c r="L75" s="7">
        <v>6270225</v>
      </c>
    </row>
    <row r="76" spans="1:12" x14ac:dyDescent="0.25">
      <c r="A76" s="8"/>
      <c r="B76" s="8"/>
      <c r="C76" s="8"/>
      <c r="E76" s="6" t="s">
        <v>417</v>
      </c>
      <c r="F76" s="7">
        <v>3630525</v>
      </c>
      <c r="H76" s="6" t="s">
        <v>412</v>
      </c>
      <c r="I76" s="9">
        <v>-1.1412920746501137E-2</v>
      </c>
      <c r="K76" s="6" t="s">
        <v>396</v>
      </c>
      <c r="L76" s="7">
        <v>19062075</v>
      </c>
    </row>
    <row r="77" spans="1:12" x14ac:dyDescent="0.25">
      <c r="E77" s="6" t="s">
        <v>416</v>
      </c>
      <c r="F77" s="7">
        <v>3651050</v>
      </c>
      <c r="H77" s="6" t="s">
        <v>413</v>
      </c>
      <c r="I77" s="9">
        <v>-0.14081462911766085</v>
      </c>
    </row>
    <row r="78" spans="1:12" x14ac:dyDescent="0.25">
      <c r="E78" s="6" t="s">
        <v>413</v>
      </c>
      <c r="F78" s="7">
        <v>3667175</v>
      </c>
      <c r="H78" s="6" t="s">
        <v>414</v>
      </c>
      <c r="I78" s="9">
        <v>0.1171133092912119</v>
      </c>
    </row>
    <row r="79" spans="1:12" x14ac:dyDescent="0.25">
      <c r="E79" s="6" t="s">
        <v>419</v>
      </c>
      <c r="F79" s="7">
        <v>3667675</v>
      </c>
      <c r="H79" s="6" t="s">
        <v>415</v>
      </c>
      <c r="I79" s="9">
        <v>-0.16476877448647065</v>
      </c>
    </row>
    <row r="80" spans="1:12" x14ac:dyDescent="0.25">
      <c r="E80" s="6" t="s">
        <v>409</v>
      </c>
      <c r="F80" s="7">
        <v>3708600</v>
      </c>
      <c r="H80" s="6" t="s">
        <v>416</v>
      </c>
      <c r="I80" s="9">
        <v>6.704367775780691E-2</v>
      </c>
    </row>
    <row r="81" spans="5:9" x14ac:dyDescent="0.25">
      <c r="E81" s="6" t="s">
        <v>414</v>
      </c>
      <c r="F81" s="7">
        <v>4096650</v>
      </c>
      <c r="H81" s="6" t="s">
        <v>417</v>
      </c>
      <c r="I81" s="9">
        <v>-5.6216704783555414E-3</v>
      </c>
    </row>
    <row r="82" spans="5:9" x14ac:dyDescent="0.25">
      <c r="E82" s="6" t="s">
        <v>412</v>
      </c>
      <c r="F82" s="7">
        <v>4268200</v>
      </c>
      <c r="H82" s="6" t="s">
        <v>418</v>
      </c>
      <c r="I82" s="9">
        <v>-0.16766170181998472</v>
      </c>
    </row>
    <row r="83" spans="5:9" x14ac:dyDescent="0.25">
      <c r="E83" s="6" t="s">
        <v>411</v>
      </c>
      <c r="F83" s="7">
        <v>4317475</v>
      </c>
      <c r="H83" s="6" t="s">
        <v>419</v>
      </c>
      <c r="I83" s="9">
        <v>0.21372845879559538</v>
      </c>
    </row>
    <row r="84" spans="5:9" x14ac:dyDescent="0.25">
      <c r="E84" s="6" t="s">
        <v>420</v>
      </c>
      <c r="F84" s="7">
        <v>4781050</v>
      </c>
      <c r="H84" s="6" t="s">
        <v>420</v>
      </c>
      <c r="I84" s="9">
        <v>0.30356424710477348</v>
      </c>
    </row>
    <row r="85" spans="5:9" x14ac:dyDescent="0.25">
      <c r="E85" s="6" t="s">
        <v>396</v>
      </c>
      <c r="F85" s="7">
        <v>44952975</v>
      </c>
      <c r="H85" s="6" t="s">
        <v>396</v>
      </c>
      <c r="I85" s="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81A30-5F6B-4B66-B4AD-476DEED1DA21}">
  <dimension ref="B2:K15"/>
  <sheetViews>
    <sheetView workbookViewId="0">
      <selection activeCell="J10" sqref="J10"/>
    </sheetView>
  </sheetViews>
  <sheetFormatPr defaultRowHeight="15" x14ac:dyDescent="0.25"/>
  <cols>
    <col min="2" max="2" width="13.140625" bestFit="1" customWidth="1"/>
    <col min="3" max="3" width="12.140625" bestFit="1" customWidth="1"/>
    <col min="5" max="5" width="13.140625" bestFit="1" customWidth="1"/>
    <col min="6" max="6" width="12.140625" bestFit="1" customWidth="1"/>
    <col min="8" max="8" width="13.140625" bestFit="1" customWidth="1"/>
    <col min="9" max="9" width="12.140625" bestFit="1" customWidth="1"/>
    <col min="11" max="11" width="30.7109375" bestFit="1" customWidth="1"/>
  </cols>
  <sheetData>
    <row r="2" spans="2:11" x14ac:dyDescent="0.25">
      <c r="B2" s="5" t="s">
        <v>395</v>
      </c>
      <c r="C2" t="s">
        <v>397</v>
      </c>
      <c r="E2" s="5" t="s">
        <v>395</v>
      </c>
      <c r="F2" t="s">
        <v>397</v>
      </c>
      <c r="H2" s="5" t="s">
        <v>395</v>
      </c>
      <c r="I2" t="s">
        <v>397</v>
      </c>
      <c r="K2" t="str">
        <f>"Total Sales " &amp; "₹" &amp; SUM(Table4[Sales])</f>
        <v>Total Sales ₹44952975</v>
      </c>
    </row>
    <row r="3" spans="2:11" x14ac:dyDescent="0.25">
      <c r="B3" s="6" t="s">
        <v>409</v>
      </c>
      <c r="C3" s="7">
        <v>3708600</v>
      </c>
      <c r="E3" s="6" t="s">
        <v>382</v>
      </c>
      <c r="F3" s="7">
        <v>17447500</v>
      </c>
      <c r="H3" s="6" t="s">
        <v>390</v>
      </c>
      <c r="I3" s="7">
        <v>1229575</v>
      </c>
      <c r="K3" t="str">
        <f>"Total Orders " &amp; COUNTA(Table4[OrderID])</f>
        <v>Total Orders 1000</v>
      </c>
    </row>
    <row r="4" spans="2:11" x14ac:dyDescent="0.25">
      <c r="B4" s="6" t="s">
        <v>410</v>
      </c>
      <c r="C4" s="7">
        <v>2721100</v>
      </c>
      <c r="E4" s="6" t="s">
        <v>384</v>
      </c>
      <c r="F4" s="7">
        <v>11145000</v>
      </c>
      <c r="H4" s="6" t="s">
        <v>389</v>
      </c>
      <c r="I4" s="7">
        <v>40606300</v>
      </c>
      <c r="K4" t="str">
        <f>"Total Quantity " &amp; SUM(Table4[Quantity])</f>
        <v>Total Quantity 3034</v>
      </c>
    </row>
    <row r="5" spans="2:11" x14ac:dyDescent="0.25">
      <c r="B5" s="6" t="s">
        <v>411</v>
      </c>
      <c r="C5" s="7">
        <v>4317475</v>
      </c>
      <c r="E5" s="6" t="s">
        <v>381</v>
      </c>
      <c r="F5" s="7">
        <v>7932000</v>
      </c>
      <c r="H5" s="6" t="s">
        <v>391</v>
      </c>
      <c r="I5" s="7">
        <v>3117100</v>
      </c>
      <c r="K5" t="str">
        <f>"Average Discount " &amp; ROUND(AVERAGE(Table4[Discount])*100, 2) &amp; "%"</f>
        <v>Average Discount 7.72%</v>
      </c>
    </row>
    <row r="6" spans="2:11" x14ac:dyDescent="0.25">
      <c r="B6" s="6" t="s">
        <v>412</v>
      </c>
      <c r="C6" s="7">
        <v>4268200</v>
      </c>
      <c r="E6" s="6" t="s">
        <v>388</v>
      </c>
      <c r="F6" s="7">
        <v>4081800</v>
      </c>
      <c r="H6" s="6" t="s">
        <v>396</v>
      </c>
      <c r="I6" s="7">
        <v>44952975</v>
      </c>
      <c r="K6" t="str">
        <f>"Unique Customers " &amp; SUM(Table4[Distinct Count])</f>
        <v>Unique Customers 16</v>
      </c>
    </row>
    <row r="7" spans="2:11" x14ac:dyDescent="0.25">
      <c r="B7" s="6" t="s">
        <v>413</v>
      </c>
      <c r="C7" s="7">
        <v>3667175</v>
      </c>
      <c r="E7" s="6" t="s">
        <v>386</v>
      </c>
      <c r="F7" s="7">
        <v>2129050</v>
      </c>
    </row>
    <row r="8" spans="2:11" x14ac:dyDescent="0.25">
      <c r="B8" s="6" t="s">
        <v>414</v>
      </c>
      <c r="C8" s="7">
        <v>4096650</v>
      </c>
      <c r="E8" s="6" t="s">
        <v>387</v>
      </c>
      <c r="F8" s="7">
        <v>988050</v>
      </c>
    </row>
    <row r="9" spans="2:11" x14ac:dyDescent="0.25">
      <c r="B9" s="6" t="s">
        <v>415</v>
      </c>
      <c r="C9" s="7">
        <v>3421650</v>
      </c>
      <c r="E9" s="6" t="s">
        <v>385</v>
      </c>
      <c r="F9" s="7">
        <v>660100</v>
      </c>
    </row>
    <row r="10" spans="2:11" x14ac:dyDescent="0.25">
      <c r="B10" s="6" t="s">
        <v>416</v>
      </c>
      <c r="C10" s="7">
        <v>3651050</v>
      </c>
      <c r="E10" s="6" t="s">
        <v>383</v>
      </c>
      <c r="F10" s="7">
        <v>569475</v>
      </c>
    </row>
    <row r="11" spans="2:11" x14ac:dyDescent="0.25">
      <c r="B11" s="6" t="s">
        <v>417</v>
      </c>
      <c r="C11" s="7">
        <v>3630525</v>
      </c>
      <c r="E11" s="6" t="s">
        <v>396</v>
      </c>
      <c r="F11" s="7">
        <v>44952975</v>
      </c>
    </row>
    <row r="12" spans="2:11" x14ac:dyDescent="0.25">
      <c r="B12" s="6" t="s">
        <v>418</v>
      </c>
      <c r="C12" s="7">
        <v>3021825</v>
      </c>
    </row>
    <row r="13" spans="2:11" x14ac:dyDescent="0.25">
      <c r="B13" s="6" t="s">
        <v>419</v>
      </c>
      <c r="C13" s="7">
        <v>3667675</v>
      </c>
    </row>
    <row r="14" spans="2:11" x14ac:dyDescent="0.25">
      <c r="B14" s="6" t="s">
        <v>420</v>
      </c>
      <c r="C14" s="7">
        <v>4781050</v>
      </c>
    </row>
    <row r="15" spans="2:11" x14ac:dyDescent="0.25">
      <c r="B15" s="6" t="s">
        <v>396</v>
      </c>
      <c r="C15" s="7">
        <v>44952975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showGridLines="0" tabSelected="1" zoomScale="80" zoomScaleNormal="80" workbookViewId="0">
      <selection activeCell="U20" sqref="U20"/>
    </sheetView>
  </sheetViews>
  <sheetFormatPr defaultRowHeight="15" x14ac:dyDescent="0.25"/>
  <cols>
    <col min="1" max="16384" width="9.140625" style="23"/>
  </cols>
  <sheetData>
    <row r="1" spans="1:1" x14ac:dyDescent="0.25">
      <c r="A1" s="2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Dateset</vt:lpstr>
      <vt:lpstr>Analysis</vt:lpstr>
      <vt:lpstr>Pivot Table</vt:lpstr>
      <vt:lpstr>Pivot For Dashboard</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 R</cp:lastModifiedBy>
  <dcterms:created xsi:type="dcterms:W3CDTF">2026-03-09T06:48:01Z</dcterms:created>
  <dcterms:modified xsi:type="dcterms:W3CDTF">2026-05-29T20:49:43Z</dcterms:modified>
</cp:coreProperties>
</file>